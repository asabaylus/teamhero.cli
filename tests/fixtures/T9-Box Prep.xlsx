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0B10C94A-2AE4-46BF-ADD5-98AAA0634AA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shboard" sheetId="5" r:id="rId1"/>
    <sheet name="Data (2)" sheetId="3" state="hidden" r:id="rId2"/>
    <sheet name="Data" sheetId="1" r:id="rId3"/>
    <sheet name="PR Data (2)" sheetId="4" state="hidden" r:id="rId4"/>
  </sheets>
  <externalReferences>
    <externalReference r:id="rId5"/>
  </externalReferences>
  <definedNames>
    <definedName name="_xlnm._FilterDatabase" localSheetId="2" hidden="1">Data!$A$1:$AH$53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0" i="5" l="1"/>
  <c r="B49" i="5"/>
  <c r="B48" i="5"/>
  <c r="B47" i="5"/>
  <c r="B46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B39" i="5"/>
  <c r="C39" i="5"/>
  <c r="D39" i="5"/>
  <c r="E39" i="5"/>
  <c r="F39" i="5"/>
  <c r="G39" i="5"/>
  <c r="B40" i="5"/>
  <c r="C40" i="5"/>
  <c r="D40" i="5"/>
  <c r="E40" i="5"/>
  <c r="F40" i="5"/>
  <c r="G40" i="5"/>
  <c r="B32" i="5"/>
  <c r="C32" i="5"/>
  <c r="D32" i="5"/>
  <c r="E32" i="5"/>
  <c r="F32" i="5"/>
  <c r="G32" i="5"/>
  <c r="B31" i="5"/>
  <c r="C31" i="5"/>
  <c r="D31" i="5"/>
  <c r="E31" i="5"/>
  <c r="F31" i="5"/>
  <c r="G31" i="5"/>
  <c r="B30" i="5"/>
  <c r="C30" i="5"/>
  <c r="D30" i="5"/>
  <c r="E30" i="5"/>
  <c r="F30" i="5"/>
  <c r="G30" i="5"/>
  <c r="G35" i="5"/>
  <c r="F35" i="5"/>
  <c r="E35" i="5"/>
  <c r="D35" i="5"/>
  <c r="C35" i="5"/>
  <c r="B35" i="5"/>
  <c r="G16" i="5" a="1"/>
  <c r="G16" i="5"/>
  <c r="A16" i="5" a="1"/>
  <c r="A16" i="5"/>
  <c r="F11" i="5"/>
  <c r="D11" i="5"/>
  <c r="B11" i="5"/>
  <c r="F10" i="5"/>
  <c r="D10" i="5"/>
  <c r="B10" i="5"/>
  <c r="F9" i="5"/>
  <c r="D9" i="5"/>
  <c r="B9" i="5"/>
  <c r="F8" i="5"/>
  <c r="D8" i="5"/>
  <c r="B8" i="5"/>
  <c r="F7" i="5"/>
  <c r="F12" i="5" s="1"/>
  <c r="D7" i="5"/>
  <c r="B7" i="5"/>
  <c r="Q2" i="5" a="1"/>
  <c r="Q2" i="5"/>
  <c r="P2" i="5" a="1"/>
  <c r="P2" i="5"/>
  <c r="O2" i="5" a="1"/>
  <c r="O2" i="5"/>
  <c r="N2" i="5" a="1"/>
  <c r="N2" i="5"/>
  <c r="O49" i="4"/>
  <c r="H49" i="4"/>
  <c r="O48" i="4"/>
  <c r="H48" i="4"/>
  <c r="O47" i="4"/>
  <c r="H47" i="4"/>
  <c r="O46" i="4"/>
  <c r="H46" i="4"/>
  <c r="O45" i="4"/>
  <c r="H45" i="4"/>
  <c r="O44" i="4"/>
  <c r="H44" i="4"/>
  <c r="O43" i="4"/>
  <c r="H43" i="4"/>
  <c r="O42" i="4"/>
  <c r="H42" i="4"/>
  <c r="O41" i="4"/>
  <c r="H41" i="4"/>
  <c r="O40" i="4"/>
  <c r="H40" i="4"/>
  <c r="O39" i="4"/>
  <c r="H39" i="4"/>
  <c r="O38" i="4"/>
  <c r="H38" i="4"/>
  <c r="O37" i="4"/>
  <c r="H37" i="4"/>
  <c r="O36" i="4"/>
  <c r="H36" i="4"/>
  <c r="O35" i="4"/>
  <c r="H35" i="4"/>
  <c r="O34" i="4"/>
  <c r="H34" i="4"/>
  <c r="O33" i="4"/>
  <c r="H33" i="4"/>
  <c r="O32" i="4"/>
  <c r="H32" i="4"/>
  <c r="O31" i="4"/>
  <c r="H31" i="4"/>
  <c r="O30" i="4"/>
  <c r="H30" i="4"/>
  <c r="O29" i="4"/>
  <c r="H29" i="4"/>
  <c r="O28" i="4"/>
  <c r="H28" i="4"/>
  <c r="O27" i="4"/>
  <c r="H27" i="4"/>
  <c r="O26" i="4"/>
  <c r="H26" i="4"/>
  <c r="O25" i="4"/>
  <c r="H25" i="4"/>
  <c r="O24" i="4"/>
  <c r="H24" i="4"/>
  <c r="O23" i="4"/>
  <c r="H23" i="4"/>
  <c r="O22" i="4"/>
  <c r="H22" i="4"/>
  <c r="O21" i="4"/>
  <c r="H21" i="4"/>
  <c r="O20" i="4"/>
  <c r="H20" i="4"/>
  <c r="O19" i="4"/>
  <c r="H19" i="4"/>
  <c r="O18" i="4"/>
  <c r="H18" i="4"/>
  <c r="O17" i="4"/>
  <c r="H17" i="4"/>
  <c r="O16" i="4"/>
  <c r="H16" i="4"/>
  <c r="O15" i="4"/>
  <c r="H15" i="4"/>
  <c r="O14" i="4"/>
  <c r="H14" i="4"/>
  <c r="O13" i="4"/>
  <c r="H13" i="4"/>
  <c r="O12" i="4"/>
  <c r="H12" i="4"/>
  <c r="O11" i="4"/>
  <c r="H11" i="4"/>
  <c r="O10" i="4"/>
  <c r="H10" i="4"/>
  <c r="O9" i="4"/>
  <c r="H9" i="4"/>
  <c r="O8" i="4"/>
  <c r="H8" i="4"/>
  <c r="O7" i="4"/>
  <c r="H7" i="4"/>
  <c r="O6" i="4"/>
  <c r="H6" i="4"/>
  <c r="O5" i="4"/>
  <c r="H5" i="4"/>
  <c r="O4" i="4"/>
  <c r="H4" i="4"/>
  <c r="O3" i="4"/>
  <c r="H3" i="4"/>
  <c r="O2" i="4"/>
  <c r="H2" i="4"/>
  <c r="AG53" i="3"/>
  <c r="AE53" i="3"/>
  <c r="AD53" i="3"/>
  <c r="AB53" i="3"/>
  <c r="AA53" i="3"/>
  <c r="Y53" i="3"/>
  <c r="X53" i="3"/>
  <c r="V53" i="3"/>
  <c r="U53" i="3"/>
  <c r="S53" i="3"/>
  <c r="R53" i="3"/>
  <c r="P53" i="3"/>
  <c r="O53" i="3"/>
  <c r="M53" i="3"/>
  <c r="AG52" i="3"/>
  <c r="AE52" i="3"/>
  <c r="AD52" i="3"/>
  <c r="AB52" i="3"/>
  <c r="AA52" i="3"/>
  <c r="Y52" i="3"/>
  <c r="X52" i="3"/>
  <c r="V52" i="3"/>
  <c r="U52" i="3"/>
  <c r="S52" i="3"/>
  <c r="R52" i="3"/>
  <c r="P52" i="3"/>
  <c r="O52" i="3"/>
  <c r="M52" i="3"/>
  <c r="AG51" i="3"/>
  <c r="AE51" i="3"/>
  <c r="AD51" i="3"/>
  <c r="AB51" i="3"/>
  <c r="AA51" i="3"/>
  <c r="Y51" i="3"/>
  <c r="X51" i="3"/>
  <c r="V51" i="3"/>
  <c r="U51" i="3"/>
  <c r="S51" i="3"/>
  <c r="R51" i="3"/>
  <c r="P51" i="3"/>
  <c r="O51" i="3"/>
  <c r="M51" i="3"/>
  <c r="AG50" i="3"/>
  <c r="AE50" i="3"/>
  <c r="AD50" i="3"/>
  <c r="AB50" i="3"/>
  <c r="AA50" i="3"/>
  <c r="Y50" i="3"/>
  <c r="X50" i="3"/>
  <c r="V50" i="3"/>
  <c r="U50" i="3"/>
  <c r="S50" i="3"/>
  <c r="R50" i="3"/>
  <c r="P50" i="3"/>
  <c r="O50" i="3"/>
  <c r="M50" i="3"/>
  <c r="AG49" i="3"/>
  <c r="AE49" i="3"/>
  <c r="AD49" i="3"/>
  <c r="AB49" i="3"/>
  <c r="AA49" i="3"/>
  <c r="Y49" i="3"/>
  <c r="X49" i="3"/>
  <c r="V49" i="3"/>
  <c r="U49" i="3"/>
  <c r="S49" i="3"/>
  <c r="R49" i="3"/>
  <c r="P49" i="3"/>
  <c r="O49" i="3"/>
  <c r="M49" i="3"/>
  <c r="AG48" i="3"/>
  <c r="AE48" i="3"/>
  <c r="AD48" i="3"/>
  <c r="AB48" i="3"/>
  <c r="AA48" i="3"/>
  <c r="Y48" i="3"/>
  <c r="X48" i="3"/>
  <c r="V48" i="3"/>
  <c r="U48" i="3"/>
  <c r="S48" i="3"/>
  <c r="R48" i="3"/>
  <c r="P48" i="3"/>
  <c r="O48" i="3"/>
  <c r="M48" i="3"/>
  <c r="AG47" i="3"/>
  <c r="AE47" i="3"/>
  <c r="AD47" i="3"/>
  <c r="AB47" i="3"/>
  <c r="AA47" i="3"/>
  <c r="Y47" i="3"/>
  <c r="X47" i="3"/>
  <c r="V47" i="3"/>
  <c r="U47" i="3"/>
  <c r="S47" i="3"/>
  <c r="R47" i="3"/>
  <c r="P47" i="3"/>
  <c r="O47" i="3"/>
  <c r="M47" i="3"/>
  <c r="AG46" i="3"/>
  <c r="AE46" i="3"/>
  <c r="AD46" i="3"/>
  <c r="AB46" i="3"/>
  <c r="AA46" i="3"/>
  <c r="Y46" i="3"/>
  <c r="X46" i="3"/>
  <c r="V46" i="3"/>
  <c r="U46" i="3"/>
  <c r="S46" i="3"/>
  <c r="R46" i="3"/>
  <c r="P46" i="3"/>
  <c r="O46" i="3"/>
  <c r="M46" i="3"/>
  <c r="AG45" i="3"/>
  <c r="AE45" i="3"/>
  <c r="AD45" i="3"/>
  <c r="AB45" i="3"/>
  <c r="AA45" i="3"/>
  <c r="Y45" i="3"/>
  <c r="X45" i="3"/>
  <c r="V45" i="3"/>
  <c r="U45" i="3"/>
  <c r="S45" i="3"/>
  <c r="R45" i="3"/>
  <c r="P45" i="3"/>
  <c r="O45" i="3"/>
  <c r="M45" i="3"/>
  <c r="AG44" i="3"/>
  <c r="AE44" i="3"/>
  <c r="AD44" i="3"/>
  <c r="AB44" i="3"/>
  <c r="AA44" i="3"/>
  <c r="Y44" i="3"/>
  <c r="X44" i="3"/>
  <c r="V44" i="3"/>
  <c r="U44" i="3"/>
  <c r="S44" i="3"/>
  <c r="R44" i="3"/>
  <c r="P44" i="3"/>
  <c r="O44" i="3"/>
  <c r="M44" i="3"/>
  <c r="AG43" i="3"/>
  <c r="AE43" i="3"/>
  <c r="AD43" i="3"/>
  <c r="AB43" i="3"/>
  <c r="AA43" i="3"/>
  <c r="Y43" i="3"/>
  <c r="X43" i="3"/>
  <c r="V43" i="3"/>
  <c r="U43" i="3"/>
  <c r="S43" i="3"/>
  <c r="R43" i="3"/>
  <c r="P43" i="3"/>
  <c r="O43" i="3"/>
  <c r="M43" i="3"/>
  <c r="AG42" i="3"/>
  <c r="AE42" i="3"/>
  <c r="AD42" i="3"/>
  <c r="AB42" i="3"/>
  <c r="AA42" i="3"/>
  <c r="Y42" i="3"/>
  <c r="X42" i="3"/>
  <c r="V42" i="3"/>
  <c r="U42" i="3"/>
  <c r="S42" i="3"/>
  <c r="R42" i="3"/>
  <c r="P42" i="3"/>
  <c r="O42" i="3"/>
  <c r="M42" i="3"/>
  <c r="AG41" i="3"/>
  <c r="AE41" i="3"/>
  <c r="AD41" i="3"/>
  <c r="AB41" i="3"/>
  <c r="AA41" i="3"/>
  <c r="Y41" i="3"/>
  <c r="X41" i="3"/>
  <c r="V41" i="3"/>
  <c r="U41" i="3"/>
  <c r="S41" i="3"/>
  <c r="R41" i="3"/>
  <c r="P41" i="3"/>
  <c r="O41" i="3"/>
  <c r="M41" i="3"/>
  <c r="AG40" i="3"/>
  <c r="AE40" i="3"/>
  <c r="AD40" i="3"/>
  <c r="AB40" i="3"/>
  <c r="AA40" i="3"/>
  <c r="Y40" i="3"/>
  <c r="X40" i="3"/>
  <c r="V40" i="3"/>
  <c r="U40" i="3"/>
  <c r="S40" i="3"/>
  <c r="R40" i="3"/>
  <c r="P40" i="3"/>
  <c r="O40" i="3"/>
  <c r="M40" i="3"/>
  <c r="AG39" i="3"/>
  <c r="AE39" i="3"/>
  <c r="AD39" i="3"/>
  <c r="AB39" i="3"/>
  <c r="AA39" i="3"/>
  <c r="Y39" i="3"/>
  <c r="X39" i="3"/>
  <c r="V39" i="3"/>
  <c r="U39" i="3"/>
  <c r="S39" i="3"/>
  <c r="R39" i="3"/>
  <c r="P39" i="3"/>
  <c r="O39" i="3"/>
  <c r="M39" i="3"/>
  <c r="D39" i="3" a="1"/>
  <c r="D39" i="3" s="1"/>
  <c r="AG38" i="3"/>
  <c r="AE38" i="3"/>
  <c r="AD38" i="3"/>
  <c r="AB38" i="3"/>
  <c r="AA38" i="3"/>
  <c r="Y38" i="3"/>
  <c r="X38" i="3"/>
  <c r="V38" i="3"/>
  <c r="U38" i="3"/>
  <c r="S38" i="3"/>
  <c r="R38" i="3"/>
  <c r="P38" i="3"/>
  <c r="O38" i="3"/>
  <c r="M38" i="3"/>
  <c r="D38" i="3" a="1"/>
  <c r="D38" i="3" s="1"/>
  <c r="AG37" i="3"/>
  <c r="AE37" i="3"/>
  <c r="AD37" i="3"/>
  <c r="AB37" i="3"/>
  <c r="AA37" i="3"/>
  <c r="Y37" i="3"/>
  <c r="X37" i="3"/>
  <c r="V37" i="3"/>
  <c r="U37" i="3"/>
  <c r="S37" i="3"/>
  <c r="R37" i="3"/>
  <c r="P37" i="3"/>
  <c r="O37" i="3"/>
  <c r="M37" i="3"/>
  <c r="D37" i="3" a="1"/>
  <c r="D37" i="3" s="1"/>
  <c r="AG36" i="3"/>
  <c r="AE36" i="3"/>
  <c r="AD36" i="3"/>
  <c r="AB36" i="3"/>
  <c r="AA36" i="3"/>
  <c r="Y36" i="3"/>
  <c r="X36" i="3"/>
  <c r="V36" i="3"/>
  <c r="U36" i="3"/>
  <c r="S36" i="3"/>
  <c r="R36" i="3"/>
  <c r="P36" i="3"/>
  <c r="O36" i="3"/>
  <c r="M36" i="3"/>
  <c r="D36" i="3" a="1"/>
  <c r="D36" i="3" s="1"/>
  <c r="AG35" i="3"/>
  <c r="AE35" i="3"/>
  <c r="AD35" i="3"/>
  <c r="AB35" i="3"/>
  <c r="AA35" i="3"/>
  <c r="Y35" i="3"/>
  <c r="X35" i="3"/>
  <c r="V35" i="3"/>
  <c r="U35" i="3"/>
  <c r="S35" i="3"/>
  <c r="R35" i="3"/>
  <c r="P35" i="3"/>
  <c r="O35" i="3"/>
  <c r="M35" i="3"/>
  <c r="D35" i="3" a="1"/>
  <c r="D35" i="3" s="1"/>
  <c r="AG34" i="3"/>
  <c r="AE34" i="3"/>
  <c r="AD34" i="3"/>
  <c r="AB34" i="3"/>
  <c r="AA34" i="3"/>
  <c r="Y34" i="3"/>
  <c r="X34" i="3"/>
  <c r="V34" i="3"/>
  <c r="U34" i="3"/>
  <c r="S34" i="3"/>
  <c r="R34" i="3"/>
  <c r="P34" i="3"/>
  <c r="O34" i="3"/>
  <c r="M34" i="3"/>
  <c r="D34" i="3" a="1"/>
  <c r="D34" i="3" s="1"/>
  <c r="AG33" i="3"/>
  <c r="AE33" i="3"/>
  <c r="AD33" i="3"/>
  <c r="AB33" i="3"/>
  <c r="AA33" i="3"/>
  <c r="Y33" i="3"/>
  <c r="X33" i="3"/>
  <c r="V33" i="3"/>
  <c r="U33" i="3"/>
  <c r="S33" i="3"/>
  <c r="R33" i="3"/>
  <c r="P33" i="3"/>
  <c r="O33" i="3"/>
  <c r="M33" i="3"/>
  <c r="D33" i="3" a="1"/>
  <c r="D33" i="3" s="1"/>
  <c r="AG32" i="3"/>
  <c r="AE32" i="3"/>
  <c r="AD32" i="3"/>
  <c r="AB32" i="3"/>
  <c r="AA32" i="3"/>
  <c r="Y32" i="3"/>
  <c r="X32" i="3"/>
  <c r="V32" i="3"/>
  <c r="U32" i="3"/>
  <c r="S32" i="3"/>
  <c r="R32" i="3"/>
  <c r="P32" i="3"/>
  <c r="O32" i="3"/>
  <c r="M32" i="3"/>
  <c r="D32" i="3" a="1"/>
  <c r="D32" i="3" s="1"/>
  <c r="AG31" i="3"/>
  <c r="AE31" i="3"/>
  <c r="AD31" i="3"/>
  <c r="AB31" i="3"/>
  <c r="AA31" i="3"/>
  <c r="Y31" i="3"/>
  <c r="X31" i="3"/>
  <c r="V31" i="3"/>
  <c r="U31" i="3"/>
  <c r="S31" i="3"/>
  <c r="R31" i="3"/>
  <c r="P31" i="3"/>
  <c r="O31" i="3"/>
  <c r="M31" i="3"/>
  <c r="D31" i="3" a="1"/>
  <c r="D31" i="3" s="1"/>
  <c r="AG30" i="3"/>
  <c r="AE30" i="3"/>
  <c r="AD30" i="3"/>
  <c r="AB30" i="3"/>
  <c r="AA30" i="3"/>
  <c r="Y30" i="3"/>
  <c r="X30" i="3"/>
  <c r="V30" i="3"/>
  <c r="U30" i="3"/>
  <c r="S30" i="3"/>
  <c r="R30" i="3"/>
  <c r="P30" i="3"/>
  <c r="O30" i="3"/>
  <c r="M30" i="3"/>
  <c r="D30" i="3" a="1"/>
  <c r="D30" i="3" s="1"/>
  <c r="AG29" i="3"/>
  <c r="AE29" i="3"/>
  <c r="AD29" i="3"/>
  <c r="AB29" i="3"/>
  <c r="AA29" i="3"/>
  <c r="Y29" i="3"/>
  <c r="X29" i="3"/>
  <c r="V29" i="3"/>
  <c r="U29" i="3"/>
  <c r="S29" i="3"/>
  <c r="R29" i="3"/>
  <c r="P29" i="3"/>
  <c r="O29" i="3"/>
  <c r="M29" i="3"/>
  <c r="D29" i="3" a="1"/>
  <c r="D29" i="3" s="1"/>
  <c r="AG28" i="3"/>
  <c r="AE28" i="3"/>
  <c r="AD28" i="3"/>
  <c r="AB28" i="3"/>
  <c r="AA28" i="3"/>
  <c r="Y28" i="3"/>
  <c r="X28" i="3"/>
  <c r="V28" i="3"/>
  <c r="U28" i="3"/>
  <c r="S28" i="3"/>
  <c r="R28" i="3"/>
  <c r="P28" i="3"/>
  <c r="O28" i="3"/>
  <c r="M28" i="3"/>
  <c r="D28" i="3" a="1"/>
  <c r="D28" i="3" s="1"/>
  <c r="AG27" i="3"/>
  <c r="AE27" i="3"/>
  <c r="AD27" i="3"/>
  <c r="AB27" i="3"/>
  <c r="AA27" i="3"/>
  <c r="Y27" i="3"/>
  <c r="X27" i="3"/>
  <c r="V27" i="3"/>
  <c r="U27" i="3"/>
  <c r="S27" i="3"/>
  <c r="R27" i="3"/>
  <c r="P27" i="3"/>
  <c r="O27" i="3"/>
  <c r="M27" i="3"/>
  <c r="D27" i="3" a="1"/>
  <c r="D27" i="3" s="1"/>
  <c r="AG26" i="3"/>
  <c r="AE26" i="3"/>
  <c r="AD26" i="3"/>
  <c r="AB26" i="3"/>
  <c r="AA26" i="3"/>
  <c r="Y26" i="3"/>
  <c r="X26" i="3"/>
  <c r="V26" i="3"/>
  <c r="U26" i="3"/>
  <c r="S26" i="3"/>
  <c r="R26" i="3"/>
  <c r="P26" i="3"/>
  <c r="O26" i="3"/>
  <c r="M26" i="3"/>
  <c r="D26" i="3" a="1"/>
  <c r="D26" i="3" s="1"/>
  <c r="AG25" i="3"/>
  <c r="AE25" i="3"/>
  <c r="AD25" i="3"/>
  <c r="AB25" i="3"/>
  <c r="AA25" i="3"/>
  <c r="Y25" i="3"/>
  <c r="X25" i="3"/>
  <c r="V25" i="3"/>
  <c r="U25" i="3"/>
  <c r="S25" i="3"/>
  <c r="R25" i="3"/>
  <c r="P25" i="3"/>
  <c r="O25" i="3"/>
  <c r="M25" i="3"/>
  <c r="D25" i="3" a="1"/>
  <c r="D25" i="3" s="1"/>
  <c r="AG24" i="3"/>
  <c r="AE24" i="3"/>
  <c r="AD24" i="3"/>
  <c r="AB24" i="3"/>
  <c r="AA24" i="3"/>
  <c r="Y24" i="3"/>
  <c r="X24" i="3"/>
  <c r="V24" i="3"/>
  <c r="U24" i="3"/>
  <c r="S24" i="3"/>
  <c r="R24" i="3"/>
  <c r="P24" i="3"/>
  <c r="O24" i="3"/>
  <c r="M24" i="3"/>
  <c r="D24" i="3" a="1"/>
  <c r="D24" i="3" s="1"/>
  <c r="AG23" i="3"/>
  <c r="AE23" i="3"/>
  <c r="AD23" i="3"/>
  <c r="AB23" i="3"/>
  <c r="AA23" i="3"/>
  <c r="Y23" i="3"/>
  <c r="X23" i="3"/>
  <c r="V23" i="3"/>
  <c r="U23" i="3"/>
  <c r="S23" i="3"/>
  <c r="R23" i="3"/>
  <c r="P23" i="3"/>
  <c r="O23" i="3"/>
  <c r="M23" i="3"/>
  <c r="D23" i="3" a="1"/>
  <c r="D23" i="3" s="1"/>
  <c r="AG22" i="3"/>
  <c r="AE22" i="3"/>
  <c r="AD22" i="3"/>
  <c r="AB22" i="3"/>
  <c r="AA22" i="3"/>
  <c r="Y22" i="3"/>
  <c r="X22" i="3"/>
  <c r="V22" i="3"/>
  <c r="U22" i="3"/>
  <c r="S22" i="3"/>
  <c r="R22" i="3"/>
  <c r="P22" i="3"/>
  <c r="O22" i="3"/>
  <c r="M22" i="3"/>
  <c r="D22" i="3" a="1"/>
  <c r="D22" i="3" s="1"/>
  <c r="AG21" i="3"/>
  <c r="AE21" i="3"/>
  <c r="AD21" i="3"/>
  <c r="AB21" i="3"/>
  <c r="AA21" i="3"/>
  <c r="Y21" i="3"/>
  <c r="X21" i="3"/>
  <c r="V21" i="3"/>
  <c r="U21" i="3"/>
  <c r="S21" i="3"/>
  <c r="R21" i="3"/>
  <c r="P21" i="3"/>
  <c r="O21" i="3"/>
  <c r="M21" i="3"/>
  <c r="D21" i="3" a="1"/>
  <c r="D21" i="3" s="1"/>
  <c r="AG20" i="3"/>
  <c r="AE20" i="3"/>
  <c r="AD20" i="3"/>
  <c r="AB20" i="3"/>
  <c r="AA20" i="3"/>
  <c r="Y20" i="3"/>
  <c r="X20" i="3"/>
  <c r="V20" i="3"/>
  <c r="U20" i="3"/>
  <c r="S20" i="3"/>
  <c r="R20" i="3"/>
  <c r="P20" i="3"/>
  <c r="O20" i="3"/>
  <c r="M20" i="3"/>
  <c r="D20" i="3" a="1"/>
  <c r="D20" i="3" s="1"/>
  <c r="AG19" i="3"/>
  <c r="AE19" i="3"/>
  <c r="AD19" i="3"/>
  <c r="AB19" i="3"/>
  <c r="AA19" i="3"/>
  <c r="Y19" i="3"/>
  <c r="X19" i="3"/>
  <c r="V19" i="3"/>
  <c r="U19" i="3"/>
  <c r="S19" i="3"/>
  <c r="R19" i="3"/>
  <c r="P19" i="3"/>
  <c r="O19" i="3"/>
  <c r="M19" i="3"/>
  <c r="D19" i="3" a="1"/>
  <c r="D19" i="3" s="1"/>
  <c r="AG18" i="3"/>
  <c r="AE18" i="3"/>
  <c r="AD18" i="3"/>
  <c r="AB18" i="3"/>
  <c r="AA18" i="3"/>
  <c r="Y18" i="3"/>
  <c r="X18" i="3"/>
  <c r="V18" i="3"/>
  <c r="U18" i="3"/>
  <c r="S18" i="3"/>
  <c r="R18" i="3"/>
  <c r="P18" i="3"/>
  <c r="O18" i="3"/>
  <c r="M18" i="3"/>
  <c r="D18" i="3" a="1"/>
  <c r="D18" i="3" s="1"/>
  <c r="AG17" i="3"/>
  <c r="AE17" i="3"/>
  <c r="AD17" i="3"/>
  <c r="AB17" i="3"/>
  <c r="AA17" i="3"/>
  <c r="Y17" i="3"/>
  <c r="X17" i="3"/>
  <c r="V17" i="3"/>
  <c r="U17" i="3"/>
  <c r="S17" i="3"/>
  <c r="R17" i="3"/>
  <c r="P17" i="3"/>
  <c r="O17" i="3"/>
  <c r="M17" i="3"/>
  <c r="D17" i="3" a="1"/>
  <c r="D17" i="3" s="1"/>
  <c r="AG16" i="3"/>
  <c r="AE16" i="3"/>
  <c r="AD16" i="3"/>
  <c r="AB16" i="3"/>
  <c r="AA16" i="3"/>
  <c r="Y16" i="3"/>
  <c r="X16" i="3"/>
  <c r="V16" i="3"/>
  <c r="U16" i="3"/>
  <c r="S16" i="3"/>
  <c r="R16" i="3"/>
  <c r="P16" i="3"/>
  <c r="O16" i="3"/>
  <c r="M16" i="3"/>
  <c r="D16" i="3" a="1"/>
  <c r="D16" i="3" s="1"/>
  <c r="AG15" i="3"/>
  <c r="AE15" i="3"/>
  <c r="AD15" i="3"/>
  <c r="AB15" i="3"/>
  <c r="AA15" i="3"/>
  <c r="Y15" i="3"/>
  <c r="X15" i="3"/>
  <c r="V15" i="3"/>
  <c r="U15" i="3"/>
  <c r="S15" i="3"/>
  <c r="R15" i="3"/>
  <c r="P15" i="3"/>
  <c r="O15" i="3"/>
  <c r="M15" i="3"/>
  <c r="D15" i="3" a="1"/>
  <c r="D15" i="3" s="1"/>
  <c r="AG14" i="3"/>
  <c r="AE14" i="3"/>
  <c r="AD14" i="3"/>
  <c r="AB14" i="3"/>
  <c r="AA14" i="3"/>
  <c r="Y14" i="3"/>
  <c r="X14" i="3"/>
  <c r="V14" i="3"/>
  <c r="U14" i="3"/>
  <c r="S14" i="3"/>
  <c r="R14" i="3"/>
  <c r="P14" i="3"/>
  <c r="O14" i="3"/>
  <c r="M14" i="3"/>
  <c r="D14" i="3" a="1"/>
  <c r="D14" i="3" s="1"/>
  <c r="AG13" i="3"/>
  <c r="AE13" i="3"/>
  <c r="AD13" i="3"/>
  <c r="AB13" i="3"/>
  <c r="AA13" i="3"/>
  <c r="Y13" i="3"/>
  <c r="X13" i="3"/>
  <c r="V13" i="3"/>
  <c r="U13" i="3"/>
  <c r="S13" i="3"/>
  <c r="R13" i="3"/>
  <c r="P13" i="3"/>
  <c r="O13" i="3"/>
  <c r="M13" i="3"/>
  <c r="D13" i="3" a="1"/>
  <c r="D13" i="3" s="1"/>
  <c r="AG12" i="3"/>
  <c r="AE12" i="3"/>
  <c r="AD12" i="3"/>
  <c r="AB12" i="3"/>
  <c r="AA12" i="3"/>
  <c r="Y12" i="3"/>
  <c r="X12" i="3"/>
  <c r="V12" i="3"/>
  <c r="U12" i="3"/>
  <c r="S12" i="3"/>
  <c r="R12" i="3"/>
  <c r="P12" i="3"/>
  <c r="O12" i="3"/>
  <c r="M12" i="3"/>
  <c r="D12" i="3" a="1"/>
  <c r="D12" i="3" s="1"/>
  <c r="AG11" i="3"/>
  <c r="AE11" i="3"/>
  <c r="AD11" i="3"/>
  <c r="AB11" i="3"/>
  <c r="AA11" i="3"/>
  <c r="Y11" i="3"/>
  <c r="X11" i="3"/>
  <c r="V11" i="3"/>
  <c r="U11" i="3"/>
  <c r="S11" i="3"/>
  <c r="R11" i="3"/>
  <c r="P11" i="3"/>
  <c r="O11" i="3"/>
  <c r="M11" i="3"/>
  <c r="D11" i="3" a="1"/>
  <c r="D11" i="3" s="1"/>
  <c r="AG10" i="3"/>
  <c r="AE10" i="3"/>
  <c r="AD10" i="3"/>
  <c r="AB10" i="3"/>
  <c r="AA10" i="3"/>
  <c r="Y10" i="3"/>
  <c r="X10" i="3"/>
  <c r="V10" i="3"/>
  <c r="U10" i="3"/>
  <c r="S10" i="3"/>
  <c r="R10" i="3"/>
  <c r="P10" i="3"/>
  <c r="O10" i="3"/>
  <c r="M10" i="3"/>
  <c r="D10" i="3" a="1"/>
  <c r="D10" i="3" s="1"/>
  <c r="AG9" i="3"/>
  <c r="AE9" i="3"/>
  <c r="AD9" i="3"/>
  <c r="AB9" i="3"/>
  <c r="AA9" i="3"/>
  <c r="Y9" i="3"/>
  <c r="X9" i="3"/>
  <c r="V9" i="3"/>
  <c r="U9" i="3"/>
  <c r="S9" i="3"/>
  <c r="R9" i="3"/>
  <c r="P9" i="3"/>
  <c r="O9" i="3"/>
  <c r="M9" i="3"/>
  <c r="D9" i="3" a="1"/>
  <c r="D9" i="3" s="1"/>
  <c r="AG8" i="3"/>
  <c r="AE8" i="3"/>
  <c r="AD8" i="3"/>
  <c r="AB8" i="3"/>
  <c r="AA8" i="3"/>
  <c r="Y8" i="3"/>
  <c r="X8" i="3"/>
  <c r="V8" i="3"/>
  <c r="U8" i="3"/>
  <c r="S8" i="3"/>
  <c r="R8" i="3"/>
  <c r="P8" i="3"/>
  <c r="O8" i="3"/>
  <c r="M8" i="3"/>
  <c r="D8" i="3" a="1"/>
  <c r="D8" i="3" s="1"/>
  <c r="AG7" i="3"/>
  <c r="AE7" i="3"/>
  <c r="AD7" i="3"/>
  <c r="AB7" i="3"/>
  <c r="AA7" i="3"/>
  <c r="Y7" i="3"/>
  <c r="X7" i="3"/>
  <c r="V7" i="3"/>
  <c r="U7" i="3"/>
  <c r="S7" i="3"/>
  <c r="R7" i="3"/>
  <c r="P7" i="3"/>
  <c r="O7" i="3"/>
  <c r="M7" i="3"/>
  <c r="AG6" i="3"/>
  <c r="AE6" i="3"/>
  <c r="AD6" i="3"/>
  <c r="AB6" i="3"/>
  <c r="AA6" i="3"/>
  <c r="Y6" i="3"/>
  <c r="X6" i="3"/>
  <c r="V6" i="3"/>
  <c r="U6" i="3"/>
  <c r="S6" i="3"/>
  <c r="R6" i="3"/>
  <c r="P6" i="3"/>
  <c r="O6" i="3"/>
  <c r="M6" i="3"/>
  <c r="AG5" i="3"/>
  <c r="AE5" i="3"/>
  <c r="AD5" i="3"/>
  <c r="AB5" i="3"/>
  <c r="AA5" i="3"/>
  <c r="Y5" i="3"/>
  <c r="X5" i="3"/>
  <c r="V5" i="3"/>
  <c r="U5" i="3"/>
  <c r="S5" i="3"/>
  <c r="R5" i="3"/>
  <c r="P5" i="3"/>
  <c r="O5" i="3"/>
  <c r="M5" i="3"/>
  <c r="AG4" i="3"/>
  <c r="AE4" i="3"/>
  <c r="AD4" i="3"/>
  <c r="AB4" i="3"/>
  <c r="AA4" i="3"/>
  <c r="Y4" i="3"/>
  <c r="X4" i="3"/>
  <c r="V4" i="3"/>
  <c r="U4" i="3"/>
  <c r="S4" i="3"/>
  <c r="R4" i="3"/>
  <c r="P4" i="3"/>
  <c r="O4" i="3"/>
  <c r="M4" i="3"/>
  <c r="AG3" i="3"/>
  <c r="AE3" i="3"/>
  <c r="AD3" i="3"/>
  <c r="AB3" i="3"/>
  <c r="AA3" i="3"/>
  <c r="Y3" i="3"/>
  <c r="X3" i="3"/>
  <c r="V3" i="3"/>
  <c r="U3" i="3"/>
  <c r="S3" i="3"/>
  <c r="R3" i="3"/>
  <c r="P3" i="3"/>
  <c r="O3" i="3"/>
  <c r="M3" i="3"/>
  <c r="D39" i="1" a="1"/>
  <c r="D39" i="1" s="1"/>
  <c r="D38" i="1" a="1"/>
  <c r="D38" i="1" s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2" i="1" a="1"/>
  <c r="D22" i="1" s="1"/>
  <c r="D21" i="1" a="1"/>
  <c r="D21" i="1" s="1"/>
  <c r="D23" i="1" a="1"/>
  <c r="D23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H16" i="5" l="1" a="1"/>
  <c r="H16" i="5" s="1"/>
  <c r="B16" i="5" a="1"/>
  <c r="B16" i="5" s="1"/>
  <c r="K16" i="5" a="1"/>
  <c r="K16" i="5" s="1"/>
  <c r="E16" i="5" a="1"/>
  <c r="E16" i="5" s="1"/>
  <c r="I16" i="5" a="1"/>
  <c r="I16" i="5" s="1"/>
  <c r="C16" i="5" a="1"/>
  <c r="C16" i="5" s="1"/>
  <c r="J16" i="5" a="1"/>
  <c r="J16" i="5" s="1"/>
  <c r="D16" i="5" a="1"/>
  <c r="D16" i="5" s="1"/>
  <c r="B12" i="5"/>
  <c r="C7" i="5"/>
  <c r="D12" i="5"/>
  <c r="E7" i="5"/>
  <c r="C8" i="5"/>
  <c r="E8" i="5"/>
  <c r="C9" i="5"/>
  <c r="E9" i="5"/>
  <c r="C10" i="5"/>
  <c r="E10" i="5"/>
  <c r="C11" i="5"/>
  <c r="E11" i="5"/>
  <c r="E12" i="5" l="1"/>
  <c r="C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tc={7B64998F-4230-4C7B-BBF0-ED546EC317FF}</author>
  </authors>
  <commentList>
    <comment ref="D25" authorId="0" shapeId="0" xr:uid="{7B64998F-4230-4C7B-BBF0-ED546EC317FF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high LOC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 Baylus</author>
  </authors>
  <commentList>
    <comment ref="L3" authorId="0" shapeId="0" xr:uid="{02F3F8E5-38E5-4C73-9F4A-62AAEDFEF1D5}">
      <text>
        <r>
          <rPr>
            <sz val="11"/>
            <color theme="1"/>
            <rFont val="Aptos Narrow"/>
            <family val="2"/>
            <scheme val="minor"/>
          </rPr>
          <t>Inferred match (Anthony A.) — please confirm</t>
        </r>
      </text>
    </comment>
    <comment ref="L9" authorId="0" shapeId="0" xr:uid="{7145D38B-A1BD-431E-878F-8B810DA7558E}">
      <text>
        <r>
          <rPr>
            <sz val="11"/>
            <color theme="1"/>
            <rFont val="Aptos Narrow"/>
            <family val="2"/>
            <scheme val="minor"/>
          </rPr>
          <t>Inferred match (Don @ GTP) — please confirm</t>
        </r>
      </text>
    </comment>
    <comment ref="L41" authorId="0" shapeId="0" xr:uid="{F78E3B27-E959-4C6A-B120-16EEF352EF3A}">
      <text>
        <r>
          <rPr>
            <sz val="11"/>
            <color theme="1"/>
            <rFont val="Aptos Narrow"/>
            <family val="2"/>
            <scheme val="minor"/>
          </rPr>
          <t>Automation/bot account — not a person</t>
        </r>
      </text>
    </comment>
    <comment ref="L44" authorId="0" shapeId="0" xr:uid="{652FB06D-036C-4036-AECC-B7F78B2DD53D}">
      <text>
        <r>
          <rPr>
            <sz val="11"/>
            <color theme="1"/>
            <rFont val="Aptos Narrow"/>
            <family val="2"/>
            <scheme val="minor"/>
          </rPr>
          <t>Likely Annu Singh (manager) — not in roster as an employee row</t>
        </r>
      </text>
    </comment>
    <comment ref="L49" authorId="0" shapeId="0" xr:uid="{9F8E4AD6-A468-49F4-B8C1-C4D244A69F9E}">
      <text>
        <r>
          <rPr>
            <sz val="11"/>
            <color theme="1"/>
            <rFont val="Aptos Narrow"/>
            <family val="2"/>
            <scheme val="minor"/>
          </rPr>
          <t>Automation/bot account — not a person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 Baylus</author>
  </authors>
  <commentList>
    <comment ref="L3" authorId="0" shapeId="0" xr:uid="{4C034197-EFC2-4744-9E85-85C400A74DA7}">
      <text>
        <r>
          <rPr>
            <sz val="11"/>
            <color theme="1"/>
            <rFont val="Aptos Narrow"/>
            <family val="2"/>
            <scheme val="minor"/>
          </rPr>
          <t>Inferred match (Anthony A.) — please confirm</t>
        </r>
      </text>
    </comment>
    <comment ref="L9" authorId="0" shapeId="0" xr:uid="{266609D4-CF09-4CEA-84B6-9CC24AFEE66A}">
      <text>
        <r>
          <rPr>
            <sz val="11"/>
            <color theme="1"/>
            <rFont val="Aptos Narrow"/>
            <family val="2"/>
            <scheme val="minor"/>
          </rPr>
          <t>Inferred match (Don @ GTP) — please confirm</t>
        </r>
      </text>
    </comment>
    <comment ref="L41" authorId="0" shapeId="0" xr:uid="{84E3CE54-0BC6-4E59-9100-81C1D96B306D}">
      <text>
        <r>
          <rPr>
            <sz val="11"/>
            <color theme="1"/>
            <rFont val="Aptos Narrow"/>
            <family val="2"/>
            <scheme val="minor"/>
          </rPr>
          <t>Automation/bot account — not a person</t>
        </r>
      </text>
    </comment>
    <comment ref="L44" authorId="0" shapeId="0" xr:uid="{B88D09FC-872A-4321-BA25-2075FB310C53}">
      <text>
        <r>
          <rPr>
            <sz val="11"/>
            <color theme="1"/>
            <rFont val="Aptos Narrow"/>
            <family val="2"/>
            <scheme val="minor"/>
          </rPr>
          <t>Likely Annu Singh (manager) — not in roster as an employee row</t>
        </r>
      </text>
    </comment>
    <comment ref="L49" authorId="0" shapeId="0" xr:uid="{4266B03C-EAEA-4B71-B56F-C4443F803004}">
      <text>
        <r>
          <rPr>
            <sz val="11"/>
            <color theme="1"/>
            <rFont val="Aptos Narrow"/>
            <family val="2"/>
            <scheme val="minor"/>
          </rPr>
          <t>Automation/bot account — not a person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<sst xmlns="http://schemas.openxmlformats.org/spreadsheetml/2006/main" count="1075" uniqueCount="222">
  <si>
    <t>Engineering Activity Dashboard</t>
  </si>
  <si>
    <t>Name (helper)</t>
  </si>
  <si>
    <t>Team</t>
  </si>
  <si>
    <t>PRs</t>
  </si>
  <si>
    <t>LoC</t>
  </si>
  <si>
    <t>Period: May 1 – Jun 10, 2026 (6 weekly snapshots)  •  Source: Data tab, 34 active named engineers  •  Ranked by PRs merged</t>
  </si>
  <si>
    <t>IMPORTANT THIS IS USING PRS FOR RANKING IT A WORK IN PROGESS</t>
  </si>
  <si>
    <t>1 · Team Summary</t>
  </si>
  <si>
    <t>Total PRs</t>
  </si>
  <si>
    <t>% of PRs</t>
  </si>
  <si>
    <t>Total LoC</t>
  </si>
  <si>
    <t>% of LoC</t>
  </si>
  <si>
    <t>Headcount</t>
  </si>
  <si>
    <t>Engineering Leadership</t>
  </si>
  <si>
    <t>Labs</t>
  </si>
  <si>
    <t>Platform</t>
  </si>
  <si>
    <t>Core</t>
  </si>
  <si>
    <t>Technical Support</t>
  </si>
  <si>
    <t>Total</t>
  </si>
  <si>
    <r>
      <rPr>
        <b/>
        <sz val="13"/>
        <color rgb="FF1F4E78"/>
        <rFont val="Aptos Narrow"/>
        <scheme val="minor"/>
      </rPr>
      <t>2 · Top 10 Contributors (</t>
    </r>
    <r>
      <rPr>
        <sz val="13"/>
        <color rgb="FFC00000"/>
        <rFont val="Aptos Narrow"/>
        <scheme val="minor"/>
      </rPr>
      <t>by PRs merged</t>
    </r>
    <r>
      <rPr>
        <b/>
        <sz val="13"/>
        <color rgb="FFC00000"/>
        <rFont val="Aptos Narrow"/>
        <scheme val="minor"/>
      </rPr>
      <t>)</t>
    </r>
  </si>
  <si>
    <t>3 · Lowest 10 Contributors (active engineers)</t>
  </si>
  <si>
    <t>#</t>
  </si>
  <si>
    <t>Name</t>
  </si>
  <si>
    <t>4 · Trends Over Time</t>
  </si>
  <si>
    <t>Weekly totals across all active engineers. Note: LoC is highly volatile due to bulk/generated-code commits — read PRs as the stable signal.</t>
  </si>
  <si>
    <t>Metric</t>
  </si>
  <si>
    <t>May 1–8</t>
  </si>
  <si>
    <t>May 8–15</t>
  </si>
  <si>
    <t>May 15–22</t>
  </si>
  <si>
    <t>May 22–29</t>
  </si>
  <si>
    <t>May 29–Jun 5</t>
  </si>
  <si>
    <t>Jun 5–10</t>
  </si>
  <si>
    <t>Active (PRs&gt;0)</t>
  </si>
  <si>
    <t>Weekly PRs by team</t>
  </si>
  <si>
    <t>5 · Tickets (placeholder — awaiting data)</t>
  </si>
  <si>
    <t>The Tickets columns in the Data tab are currently empty. These formulas auto-populate the moment ticket counts are entered — no rebuild needed.</t>
  </si>
  <si>
    <t>Total Tickets</t>
  </si>
  <si>
    <t>Full Name</t>
  </si>
  <si>
    <t>Title</t>
  </si>
  <si>
    <t>Workstream</t>
  </si>
  <si>
    <t>Manager</t>
  </si>
  <si>
    <t>Employment Type</t>
  </si>
  <si>
    <t>Company</t>
  </si>
  <si>
    <t>Location</t>
  </si>
  <si>
    <t>Discipline</t>
  </si>
  <si>
    <t>Role</t>
  </si>
  <si>
    <t>Seniority</t>
  </si>
  <si>
    <t>GitHub Account</t>
  </si>
  <si>
    <t>Notes</t>
  </si>
  <si>
    <t>PR</t>
  </si>
  <si>
    <t>Tickets</t>
  </si>
  <si>
    <t>Anthony Anderson</t>
  </si>
  <si>
    <t>Interim Director of Engineering</t>
  </si>
  <si>
    <t>Admin</t>
  </si>
  <si>
    <t>Annu Singh</t>
  </si>
  <si>
    <t>FTE</t>
  </si>
  <si>
    <t>Stratus</t>
  </si>
  <si>
    <t>Orlando</t>
  </si>
  <si>
    <t>Leadership</t>
  </si>
  <si>
    <t>Other</t>
  </si>
  <si>
    <t>Director</t>
  </si>
  <si>
    <t>anthonyagtp</t>
  </si>
  <si>
    <t>Asa Baylus</t>
  </si>
  <si>
    <t>VP Engineering</t>
  </si>
  <si>
    <t>Virginia</t>
  </si>
  <si>
    <t>asabaylus</t>
  </si>
  <si>
    <t>Jonathan Umscheid</t>
  </si>
  <si>
    <t>Chief Innovation Officer</t>
  </si>
  <si>
    <t>North Carolina</t>
  </si>
  <si>
    <t>jonathanumscheid</t>
  </si>
  <si>
    <t>Crystal Ross</t>
  </si>
  <si>
    <t>Director Technical Support</t>
  </si>
  <si>
    <t>Massachusetts</t>
  </si>
  <si>
    <t>Chris Bown</t>
  </si>
  <si>
    <t>Senior Director, Platform Engineering</t>
  </si>
  <si>
    <t>Phoenix</t>
  </si>
  <si>
    <t>Developer</t>
  </si>
  <si>
    <t>cbown75</t>
  </si>
  <si>
    <t>Andy Robins</t>
  </si>
  <si>
    <t>Full Stack Engineer</t>
  </si>
  <si>
    <t>UK</t>
  </si>
  <si>
    <t>Full Stack</t>
  </si>
  <si>
    <t>Lead</t>
  </si>
  <si>
    <t>andyrobins-gtp</t>
  </si>
  <si>
    <t>Don Porter</t>
  </si>
  <si>
    <t>Columbia</t>
  </si>
  <si>
    <t>Senior</t>
  </si>
  <si>
    <t>donatgtp</t>
  </si>
  <si>
    <t>Francisco Micucci</t>
  </si>
  <si>
    <t>Contractor</t>
  </si>
  <si>
    <t>Marvik</t>
  </si>
  <si>
    <t>famicucci</t>
  </si>
  <si>
    <t>Eric Spieguel</t>
  </si>
  <si>
    <t>Data Engineer</t>
  </si>
  <si>
    <t>DS</t>
  </si>
  <si>
    <t>ericspiguel</t>
  </si>
  <si>
    <t>Juan Oliu</t>
  </si>
  <si>
    <t>Architect / Lead</t>
  </si>
  <si>
    <t>jmoliugp</t>
  </si>
  <si>
    <t>Aaron Entwistle</t>
  </si>
  <si>
    <t>Senior Platform Engineer</t>
  </si>
  <si>
    <t>DevOps</t>
  </si>
  <si>
    <t>aaronentwistle</t>
  </si>
  <si>
    <t>Anisah Reed</t>
  </si>
  <si>
    <t>Platform Engineer</t>
  </si>
  <si>
    <t>Houston</t>
  </si>
  <si>
    <t>Mid</t>
  </si>
  <si>
    <t>AnisahReed</t>
  </si>
  <si>
    <t>Zach Ward</t>
  </si>
  <si>
    <t>San Diego</t>
  </si>
  <si>
    <t>zwardstratus</t>
  </si>
  <si>
    <t>Kyle Snyder</t>
  </si>
  <si>
    <t>IT (Platform team)</t>
  </si>
  <si>
    <t>Kansas City</t>
  </si>
  <si>
    <t>IT</t>
  </si>
  <si>
    <t>kylesnydergogtp</t>
  </si>
  <si>
    <t>Antonio Pola</t>
  </si>
  <si>
    <t>Principal Engineer / Tech Lead</t>
  </si>
  <si>
    <t>Contractor (FTE-equivalent)</t>
  </si>
  <si>
    <t>Rippling</t>
  </si>
  <si>
    <t>Mexico</t>
  </si>
  <si>
    <t>Principal</t>
  </si>
  <si>
    <t>AntonioPolaGTP</t>
  </si>
  <si>
    <t>Adrian Castillo</t>
  </si>
  <si>
    <t>Full Stack Engineer (Lead-track)</t>
  </si>
  <si>
    <t>adrianCastillo-gtp</t>
  </si>
  <si>
    <t>Matt Duffy</t>
  </si>
  <si>
    <t>Wisconsin</t>
  </si>
  <si>
    <t>mduffy-gtp</t>
  </si>
  <si>
    <t>Hector Tinajero</t>
  </si>
  <si>
    <t>Senior Full Stack / Tech Lead</t>
  </si>
  <si>
    <t>hectortinajerogtp</t>
  </si>
  <si>
    <t>Maaz Qureshi</t>
  </si>
  <si>
    <t>Senior Full Stack Engineer</t>
  </si>
  <si>
    <t>maazq1</t>
  </si>
  <si>
    <t>David Rozen</t>
  </si>
  <si>
    <t>Principal Engineer (Backend)</t>
  </si>
  <si>
    <t>Argentina</t>
  </si>
  <si>
    <t>dvdrozen-stratus</t>
  </si>
  <si>
    <t>Ryan Trimble</t>
  </si>
  <si>
    <t>Senior Front-end Engineer</t>
  </si>
  <si>
    <t>ryantrimble-stratus</t>
  </si>
  <si>
    <t>Ahmed Sohail</t>
  </si>
  <si>
    <t>aahmedstratus</t>
  </si>
  <si>
    <t>Joe Hosman</t>
  </si>
  <si>
    <t>Desktop</t>
  </si>
  <si>
    <t>JoeGoGTP</t>
  </si>
  <si>
    <t>Ignacio Harretche</t>
  </si>
  <si>
    <t>ignacio-harretche-stratus</t>
  </si>
  <si>
    <t>Steve Rives</t>
  </si>
  <si>
    <t>Lead Engineer — Workstation/Print</t>
  </si>
  <si>
    <t>srives-gtp</t>
  </si>
  <si>
    <t>Fernando Bastos</t>
  </si>
  <si>
    <t>Desktop Engineer</t>
  </si>
  <si>
    <t>Brazil</t>
  </si>
  <si>
    <t>fernandobastosgogtp</t>
  </si>
  <si>
    <t>Anthony Lehenbauer</t>
  </si>
  <si>
    <t>Lead — Field Orders</t>
  </si>
  <si>
    <r>
      <rPr>
        <sz val="12"/>
        <color rgb="FF000000"/>
        <rFont val="Aptos Narrow"/>
        <scheme val="minor"/>
      </rPr>
      <t xml:space="preserve">Ashburn, Virginia </t>
    </r>
    <r>
      <rPr>
        <strike/>
        <sz val="12"/>
        <color rgb="FF000000"/>
        <rFont val="Aptos Narrow"/>
        <scheme val="minor"/>
      </rPr>
      <t>Gainesville, FL</t>
    </r>
  </si>
  <si>
    <t>gtp-anthony-lehenbauer</t>
  </si>
  <si>
    <t>Lautaro Araujo</t>
  </si>
  <si>
    <t>Cloud / Platform Engineer</t>
  </si>
  <si>
    <t>Backend</t>
  </si>
  <si>
    <t>laaraujo</t>
  </si>
  <si>
    <t>Martin Ferreira</t>
  </si>
  <si>
    <t>Unity Developer</t>
  </si>
  <si>
    <t>Martin-Stratus</t>
  </si>
  <si>
    <t>Tomas Gorkin</t>
  </si>
  <si>
    <t>Engineer — Mobile Viewer</t>
  </si>
  <si>
    <t>QA</t>
  </si>
  <si>
    <t>tomas-stratus</t>
  </si>
  <si>
    <t>Bruce Vaughn</t>
  </si>
  <si>
    <t>Principal QA Engineer</t>
  </si>
  <si>
    <t>QABruceVaughn</t>
  </si>
  <si>
    <t>Murat Ozel</t>
  </si>
  <si>
    <t>SDET</t>
  </si>
  <si>
    <t>Nashville</t>
  </si>
  <si>
    <t>Murat-QA</t>
  </si>
  <si>
    <t>Glenn Holmes</t>
  </si>
  <si>
    <t>QA Engineer</t>
  </si>
  <si>
    <t>Glenn-QA</t>
  </si>
  <si>
    <t>Chris Cavazos</t>
  </si>
  <si>
    <t>Publish Support Engineer</t>
  </si>
  <si>
    <t>Seattle</t>
  </si>
  <si>
    <t>crcavazos</t>
  </si>
  <si>
    <t>Christian Johnston</t>
  </si>
  <si>
    <t>Technical Support Rep</t>
  </si>
  <si>
    <t>Indiana</t>
  </si>
  <si>
    <t>Support</t>
  </si>
  <si>
    <t>Skylar Ryals</t>
  </si>
  <si>
    <t>New Mexico</t>
  </si>
  <si>
    <t>S-Ryals</t>
  </si>
  <si>
    <t>Jonah Sly</t>
  </si>
  <si>
    <t>Texas</t>
  </si>
  <si>
    <t>DavidU-GTP</t>
  </si>
  <si>
    <t>Stratus-BT</t>
  </si>
  <si>
    <t>alejo-cano-marvik</t>
  </si>
  <si>
    <t>ana-santana-gtp</t>
  </si>
  <si>
    <t>annusingh</t>
  </si>
  <si>
    <t>cameronstratus</t>
  </si>
  <si>
    <t>chanelatstratus</t>
  </si>
  <si>
    <t>emilytconnery</t>
  </si>
  <si>
    <t>gregorysantoro</t>
  </si>
  <si>
    <t>gtp-platform-automation</t>
  </si>
  <si>
    <t>hollystratus</t>
  </si>
  <si>
    <t>matthew-tatertots</t>
  </si>
  <si>
    <t>staylor1120</t>
  </si>
  <si>
    <t>stephen-hoff-stratus</t>
  </si>
  <si>
    <t/>
  </si>
  <si>
    <t>PR 2026-05-08</t>
  </si>
  <si>
    <t>PR 2026-05-15</t>
  </si>
  <si>
    <t>PR 2026-05-22</t>
  </si>
  <si>
    <t>PR 2026-05-29</t>
  </si>
  <si>
    <t>PR 2026-06-05</t>
  </si>
  <si>
    <t>PR 2026-06-10</t>
  </si>
  <si>
    <t>Total Merged</t>
  </si>
  <si>
    <t>LoC 2026-05-08</t>
  </si>
  <si>
    <t>LoC 2026-05-15</t>
  </si>
  <si>
    <t>LoC 2026-05-22</t>
  </si>
  <si>
    <t>LoC 2026-05-29</t>
  </si>
  <si>
    <t>LoC 2026-06-05</t>
  </si>
  <si>
    <t>LoC 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</si>
</sst>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7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trike/>
      <sz val="12"/>
      <color rgb="FF000000"/>
      <name val="Aptos Narrow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</font>
    <font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b/>
      <sz val="18"/>
      <color rgb="FF1F4E78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3"/>
      <color rgb="FF1F4E78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i/>
      <sz val="9"/>
      <color rgb="FFC0504D"/>
      <name val="Aptos Narrow"/>
      <family val="2"/>
      <scheme val="minor"/>
    </font>
    <font>
      <b/>
      <sz val="13"/>
      <color rgb="FF1F4E78"/>
      <name val="Aptos Narrow"/>
      <scheme val="minor"/>
    </font>
    <font>
      <sz val="13"/>
      <color rgb="FFC00000"/>
      <name val="Aptos Narrow"/>
      <scheme val="minor"/>
    </font>
    <font>
      <b/>
      <sz val="13"/>
      <color rgb="FFC00000"/>
      <name val="Aptos Narrow"/>
      <scheme val="minor"/>
    </font>
    <font>
      <sz val="11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4" fillId="2" borderId="0" xfId="0" applyFont="1" applyFill="1"/>
    <xf numFmtId="14" fontId="4" fillId="2" borderId="0" xfId="0" applyNumberFormat="1" applyFont="1" applyFill="1"/>
    <xf numFmtId="3" fontId="0" fillId="0" borderId="0" xfId="0" applyNumberFormat="1"/>
    <xf numFmtId="0" fontId="4" fillId="2" borderId="0" xfId="0" applyFont="1" applyFill="1" applyAlignment="1">
      <alignment horizontal="center" vertical="center" textRotation="90"/>
    </xf>
    <xf numFmtId="0" fontId="4" fillId="3" borderId="0" xfId="0" applyFont="1" applyFill="1" applyAlignment="1">
      <alignment horizontal="center" vertical="center" textRotation="90"/>
    </xf>
    <xf numFmtId="1" fontId="0" fillId="0" borderId="0" xfId="0" applyNumberFormat="1"/>
    <xf numFmtId="1" fontId="0" fillId="4" borderId="0" xfId="0" applyNumberForma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2" borderId="0" xfId="0" applyFont="1" applyFill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righ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13" fillId="0" borderId="0" xfId="0" applyFont="1"/>
    <xf numFmtId="0" fontId="16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Total PRs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Dashboard!$A$7:$A$11</c:f>
              <c:strCache>
                <c:ptCount val="5"/>
                <c:pt idx="0">
                  <c:v>Engineering Leadership</c:v>
                </c:pt>
                <c:pt idx="1">
                  <c:v>Labs</c:v>
                </c:pt>
                <c:pt idx="2">
                  <c:v>Platform</c:v>
                </c:pt>
                <c:pt idx="3">
                  <c:v>Core</c:v>
                </c:pt>
                <c:pt idx="4">
                  <c:v>Technical Support</c:v>
                </c:pt>
              </c:strCache>
            </c:strRef>
          </c:cat>
          <c:val>
            <c:numRef>
              <c:f>Dashboard!$B$7:$B$11</c:f>
              <c:numCache>
                <c:formatCode>#,##0;\(#,##0\);\-</c:formatCode>
                <c:ptCount val="5"/>
                <c:pt idx="0">
                  <c:v>199</c:v>
                </c:pt>
                <c:pt idx="1">
                  <c:v>62</c:v>
                </c:pt>
                <c:pt idx="2">
                  <c:v>174</c:v>
                </c:pt>
                <c:pt idx="3">
                  <c:v>495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D-4D8E-AB19-FBB21D0EA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209096"/>
        <c:axId val="821222920"/>
      </c:barChart>
      <c:catAx>
        <c:axId val="82120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22920"/>
        <c:crosses val="autoZero"/>
        <c:auto val="1"/>
        <c:lblAlgn val="ctr"/>
        <c:lblOffset val="100"/>
        <c:noMultiLvlLbl val="0"/>
      </c:catAx>
      <c:valAx>
        <c:axId val="82122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0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Contributors (PRs)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Dashboard!$C$15</c:f>
              <c:strCache>
                <c:ptCount val="1"/>
                <c:pt idx="0">
                  <c:v>PRs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Dashboard!$B$16:$B$25</c:f>
              <c:strCache>
                <c:ptCount val="10"/>
                <c:pt idx="0">
                  <c:v>Chris Bown</c:v>
                </c:pt>
                <c:pt idx="1">
                  <c:v>Zach Ward</c:v>
                </c:pt>
                <c:pt idx="2">
                  <c:v>Aaron Entwistle</c:v>
                </c:pt>
                <c:pt idx="3">
                  <c:v>David Rozen</c:v>
                </c:pt>
                <c:pt idx="4">
                  <c:v>Tomas Gorkin</c:v>
                </c:pt>
                <c:pt idx="5">
                  <c:v>Joe Hosman</c:v>
                </c:pt>
                <c:pt idx="6">
                  <c:v>Fernando Bastos</c:v>
                </c:pt>
                <c:pt idx="7">
                  <c:v>Steve Rives</c:v>
                </c:pt>
                <c:pt idx="8">
                  <c:v>Francisco Micucci</c:v>
                </c:pt>
                <c:pt idx="9">
                  <c:v>Anthony Lehenbauer</c:v>
                </c:pt>
              </c:strCache>
            </c:strRef>
          </c:cat>
          <c:val>
            <c:numRef>
              <c:f>Dashboard!$C$16:$C$25</c:f>
              <c:numCache>
                <c:formatCode>#,##0</c:formatCode>
                <c:ptCount val="10"/>
                <c:pt idx="0">
                  <c:v>178</c:v>
                </c:pt>
                <c:pt idx="1">
                  <c:v>100</c:v>
                </c:pt>
                <c:pt idx="2">
                  <c:v>64</c:v>
                </c:pt>
                <c:pt idx="3">
                  <c:v>62</c:v>
                </c:pt>
                <c:pt idx="4">
                  <c:v>61</c:v>
                </c:pt>
                <c:pt idx="5">
                  <c:v>50</c:v>
                </c:pt>
                <c:pt idx="6">
                  <c:v>41</c:v>
                </c:pt>
                <c:pt idx="7">
                  <c:v>40</c:v>
                </c:pt>
                <c:pt idx="8">
                  <c:v>39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B-4D3A-9422-5B2310266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7044744"/>
        <c:axId val="477046792"/>
      </c:barChart>
      <c:catAx>
        <c:axId val="477044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46792"/>
        <c:crosses val="autoZero"/>
        <c:auto val="1"/>
        <c:lblAlgn val="ctr"/>
        <c:lblOffset val="100"/>
        <c:noMultiLvlLbl val="0"/>
      </c:catAx>
      <c:valAx>
        <c:axId val="4770467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44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Total PRs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Dashboard!$A$30</c:f>
              <c:strCache>
                <c:ptCount val="1"/>
                <c:pt idx="0">
                  <c:v>Total PRs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Dashboard!$B$29:$G$29</c:f>
              <c:strCache>
                <c:ptCount val="6"/>
                <c:pt idx="0">
                  <c:v>May 1–8</c:v>
                </c:pt>
                <c:pt idx="1">
                  <c:v>May 8–15</c:v>
                </c:pt>
                <c:pt idx="2">
                  <c:v>May 15–22</c:v>
                </c:pt>
                <c:pt idx="3">
                  <c:v>May 22–29</c:v>
                </c:pt>
                <c:pt idx="4">
                  <c:v>May 29–Jun 5</c:v>
                </c:pt>
                <c:pt idx="5">
                  <c:v>Jun 5–10</c:v>
                </c:pt>
              </c:strCache>
            </c:strRef>
          </c:cat>
          <c:val>
            <c:numRef>
              <c:f>Dashboard!$B$30:$G$30</c:f>
              <c:numCache>
                <c:formatCode>#,##0</c:formatCode>
                <c:ptCount val="6"/>
                <c:pt idx="0">
                  <c:v>205</c:v>
                </c:pt>
                <c:pt idx="1">
                  <c:v>180</c:v>
                </c:pt>
                <c:pt idx="2">
                  <c:v>123</c:v>
                </c:pt>
                <c:pt idx="3">
                  <c:v>153</c:v>
                </c:pt>
                <c:pt idx="4">
                  <c:v>147</c:v>
                </c:pt>
                <c:pt idx="5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A-46D8-AC0F-2A648C94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104584"/>
        <c:axId val="606110728"/>
      </c:lineChart>
      <c:catAx>
        <c:axId val="60610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0728"/>
        <c:crosses val="autoZero"/>
        <c:auto val="1"/>
        <c:lblAlgn val="ctr"/>
        <c:lblOffset val="100"/>
        <c:noMultiLvlLbl val="0"/>
      </c:catAx>
      <c:valAx>
        <c:axId val="60611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04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PRs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Dashboard!$A$36</c:f>
              <c:strCache>
                <c:ptCount val="1"/>
                <c:pt idx="0">
                  <c:v>Engineering Leadership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Dashboard!$B$35:$G$35</c:f>
              <c:strCache>
                <c:ptCount val="6"/>
                <c:pt idx="0">
                  <c:v>May 1–8</c:v>
                </c:pt>
                <c:pt idx="1">
                  <c:v>May 8–15</c:v>
                </c:pt>
                <c:pt idx="2">
                  <c:v>May 15–22</c:v>
                </c:pt>
                <c:pt idx="3">
                  <c:v>May 22–29</c:v>
                </c:pt>
                <c:pt idx="4">
                  <c:v>May 29–Jun 5</c:v>
                </c:pt>
                <c:pt idx="5">
                  <c:v>Jun 5–10</c:v>
                </c:pt>
              </c:strCache>
            </c:strRef>
          </c:cat>
          <c:val>
            <c:numRef>
              <c:f>Dashboard!$B$36:$G$36</c:f>
              <c:numCache>
                <c:formatCode>#,##0;\(#,##0\);\-</c:formatCode>
                <c:ptCount val="6"/>
                <c:pt idx="0">
                  <c:v>102</c:v>
                </c:pt>
                <c:pt idx="1">
                  <c:v>34</c:v>
                </c:pt>
                <c:pt idx="2">
                  <c:v>16</c:v>
                </c:pt>
                <c:pt idx="3">
                  <c:v>11</c:v>
                </c:pt>
                <c:pt idx="4">
                  <c:v>22</c:v>
                </c:pt>
                <c:pt idx="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D-48EB-9C6C-4D0EF47662C8}"/>
            </c:ext>
          </c:extLst>
        </c:ser>
        <c:ser>
          <c:idx val="1"/>
          <c:order val="1"/>
          <c:tx>
            <c:strRef>
              <c:f>Dashboard!$A$37</c:f>
              <c:strCache>
                <c:ptCount val="1"/>
                <c:pt idx="0">
                  <c:v>Labs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Dashboard!$B$35:$G$35</c:f>
              <c:strCache>
                <c:ptCount val="6"/>
                <c:pt idx="0">
                  <c:v>May 1–8</c:v>
                </c:pt>
                <c:pt idx="1">
                  <c:v>May 8–15</c:v>
                </c:pt>
                <c:pt idx="2">
                  <c:v>May 15–22</c:v>
                </c:pt>
                <c:pt idx="3">
                  <c:v>May 22–29</c:v>
                </c:pt>
                <c:pt idx="4">
                  <c:v>May 29–Jun 5</c:v>
                </c:pt>
                <c:pt idx="5">
                  <c:v>Jun 5–10</c:v>
                </c:pt>
              </c:strCache>
            </c:strRef>
          </c:cat>
          <c:val>
            <c:numRef>
              <c:f>Dashboard!$B$37:$G$37</c:f>
              <c:numCache>
                <c:formatCode>#,##0;\(#,##0\);\-</c:formatCode>
                <c:ptCount val="6"/>
                <c:pt idx="0">
                  <c:v>7</c:v>
                </c:pt>
                <c:pt idx="1">
                  <c:v>17</c:v>
                </c:pt>
                <c:pt idx="2">
                  <c:v>15</c:v>
                </c:pt>
                <c:pt idx="3">
                  <c:v>4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0D-48EB-9C6C-4D0EF47662C8}"/>
            </c:ext>
          </c:extLst>
        </c:ser>
        <c:ser>
          <c:idx val="2"/>
          <c:order val="2"/>
          <c:tx>
            <c:strRef>
              <c:f>Dashboard!$A$38</c:f>
              <c:strCache>
                <c:ptCount val="1"/>
                <c:pt idx="0">
                  <c:v>Platform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Dashboard!$B$35:$G$35</c:f>
              <c:strCache>
                <c:ptCount val="6"/>
                <c:pt idx="0">
                  <c:v>May 1–8</c:v>
                </c:pt>
                <c:pt idx="1">
                  <c:v>May 8–15</c:v>
                </c:pt>
                <c:pt idx="2">
                  <c:v>May 15–22</c:v>
                </c:pt>
                <c:pt idx="3">
                  <c:v>May 22–29</c:v>
                </c:pt>
                <c:pt idx="4">
                  <c:v>May 29–Jun 5</c:v>
                </c:pt>
                <c:pt idx="5">
                  <c:v>Jun 5–10</c:v>
                </c:pt>
              </c:strCache>
            </c:strRef>
          </c:cat>
          <c:val>
            <c:numRef>
              <c:f>Dashboard!$B$38:$G$38</c:f>
              <c:numCache>
                <c:formatCode>#,##0;\(#,##0\);\-</c:formatCode>
                <c:ptCount val="6"/>
                <c:pt idx="0">
                  <c:v>16</c:v>
                </c:pt>
                <c:pt idx="1">
                  <c:v>43</c:v>
                </c:pt>
                <c:pt idx="2">
                  <c:v>37</c:v>
                </c:pt>
                <c:pt idx="3">
                  <c:v>29</c:v>
                </c:pt>
                <c:pt idx="4">
                  <c:v>21</c:v>
                </c:pt>
                <c:pt idx="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0D-48EB-9C6C-4D0EF47662C8}"/>
            </c:ext>
          </c:extLst>
        </c:ser>
        <c:ser>
          <c:idx val="3"/>
          <c:order val="3"/>
          <c:tx>
            <c:strRef>
              <c:f>Dashboard!$A$39</c:f>
              <c:strCache>
                <c:ptCount val="1"/>
                <c:pt idx="0">
                  <c:v>Core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Dashboard!$B$35:$G$35</c:f>
              <c:strCache>
                <c:ptCount val="6"/>
                <c:pt idx="0">
                  <c:v>May 1–8</c:v>
                </c:pt>
                <c:pt idx="1">
                  <c:v>May 8–15</c:v>
                </c:pt>
                <c:pt idx="2">
                  <c:v>May 15–22</c:v>
                </c:pt>
                <c:pt idx="3">
                  <c:v>May 22–29</c:v>
                </c:pt>
                <c:pt idx="4">
                  <c:v>May 29–Jun 5</c:v>
                </c:pt>
                <c:pt idx="5">
                  <c:v>Jun 5–10</c:v>
                </c:pt>
              </c:strCache>
            </c:strRef>
          </c:cat>
          <c:val>
            <c:numRef>
              <c:f>Dashboard!$B$39:$G$39</c:f>
              <c:numCache>
                <c:formatCode>#,##0;\(#,##0\);\-</c:formatCode>
                <c:ptCount val="6"/>
                <c:pt idx="0">
                  <c:v>80</c:v>
                </c:pt>
                <c:pt idx="1">
                  <c:v>85</c:v>
                </c:pt>
                <c:pt idx="2">
                  <c:v>55</c:v>
                </c:pt>
                <c:pt idx="3">
                  <c:v>109</c:v>
                </c:pt>
                <c:pt idx="4">
                  <c:v>91</c:v>
                </c:pt>
                <c:pt idx="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0D-48EB-9C6C-4D0EF47662C8}"/>
            </c:ext>
          </c:extLst>
        </c:ser>
        <c:ser>
          <c:idx val="4"/>
          <c:order val="4"/>
          <c:tx>
            <c:strRef>
              <c:f>Dashboard!$A$40</c:f>
              <c:strCache>
                <c:ptCount val="1"/>
                <c:pt idx="0">
                  <c:v>Technical Support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Dashboard!$B$35:$G$35</c:f>
              <c:strCache>
                <c:ptCount val="6"/>
                <c:pt idx="0">
                  <c:v>May 1–8</c:v>
                </c:pt>
                <c:pt idx="1">
                  <c:v>May 8–15</c:v>
                </c:pt>
                <c:pt idx="2">
                  <c:v>May 15–22</c:v>
                </c:pt>
                <c:pt idx="3">
                  <c:v>May 22–29</c:v>
                </c:pt>
                <c:pt idx="4">
                  <c:v>May 29–Jun 5</c:v>
                </c:pt>
                <c:pt idx="5">
                  <c:v>Jun 5–10</c:v>
                </c:pt>
              </c:strCache>
            </c:strRef>
          </c:cat>
          <c:val>
            <c:numRef>
              <c:f>Dashboard!$B$40:$G$40</c:f>
              <c:numCache>
                <c:formatCode>#,##0;\(#,##0\);\-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0D-48EB-9C6C-4D0EF4766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400392"/>
        <c:axId val="648410632"/>
      </c:lineChart>
      <c:catAx>
        <c:axId val="64840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10632"/>
        <c:crosses val="autoZero"/>
        <c:auto val="1"/>
        <c:lblAlgn val="ctr"/>
        <c:lblOffset val="100"/>
        <c:noMultiLvlLbl val="0"/>
      </c:catAx>
      <c:valAx>
        <c:axId val="64841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0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6</xdr:col>
      <xdr:colOff>0</xdr:colOff>
      <xdr:row>68</xdr:row>
      <xdr:rowOff>0</xdr:rowOff>
    </xdr:to>
    <xdr:graphicFrame macro="">
      <xdr:nvGraphicFramePr>
        <xdr:cNvPr id="2" name="PRsByTeam">
          <a:extLst>
            <a:ext uri="{FF2B5EF4-FFF2-40B4-BE49-F238E27FC236}">
              <a16:creationId xmlns:a16="http://schemas.microsoft.com/office/drawing/2014/main" id="{2CA0E16A-1D95-CF5D-8ECE-8CC422FF4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12</xdr:col>
      <xdr:colOff>0</xdr:colOff>
      <xdr:row>68</xdr:row>
      <xdr:rowOff>0</xdr:rowOff>
    </xdr:to>
    <xdr:graphicFrame macro="">
      <xdr:nvGraphicFramePr>
        <xdr:cNvPr id="3" name="Top10">
          <a:extLst>
            <a:ext uri="{FF2B5EF4-FFF2-40B4-BE49-F238E27FC236}">
              <a16:creationId xmlns:a16="http://schemas.microsoft.com/office/drawing/2014/main" id="{9BB01E76-65AE-BB58-96A8-E7DB0DB95F40}"/>
            </a:ext>
            <a:ext uri="{147F2762-F138-4A5C-976F-8EAC2B608ADB}">
              <a16:predDERef xmlns:a16="http://schemas.microsoft.com/office/drawing/2014/main" pred="{2CA0E16A-1D95-CF5D-8ECE-8CC422FF4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0</xdr:rowOff>
    </xdr:from>
    <xdr:to>
      <xdr:col>6</xdr:col>
      <xdr:colOff>0</xdr:colOff>
      <xdr:row>85</xdr:row>
      <xdr:rowOff>0</xdr:rowOff>
    </xdr:to>
    <xdr:graphicFrame macro="">
      <xdr:nvGraphicFramePr>
        <xdr:cNvPr id="4" name="WeeklyPRs">
          <a:extLst>
            <a:ext uri="{FF2B5EF4-FFF2-40B4-BE49-F238E27FC236}">
              <a16:creationId xmlns:a16="http://schemas.microsoft.com/office/drawing/2014/main" id="{2308B83E-3B1A-7253-6065-11D979490740}"/>
            </a:ext>
            <a:ext uri="{147F2762-F138-4A5C-976F-8EAC2B608ADB}">
              <a16:predDERef xmlns:a16="http://schemas.microsoft.com/office/drawing/2014/main" pred="{9BB01E76-65AE-BB58-96A8-E7DB0DB95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12</xdr:col>
      <xdr:colOff>0</xdr:colOff>
      <xdr:row>85</xdr:row>
      <xdr:rowOff>0</xdr:rowOff>
    </xdr:to>
    <xdr:graphicFrame macro="">
      <xdr:nvGraphicFramePr>
        <xdr:cNvPr id="5" name="TeamPRTrend">
          <a:extLst>
            <a:ext uri="{FF2B5EF4-FFF2-40B4-BE49-F238E27FC236}">
              <a16:creationId xmlns:a16="http://schemas.microsoft.com/office/drawing/2014/main" id="{73E2C10D-FF84-099E-DB6A-FC7B497F3CE9}"/>
            </a:ext>
            <a:ext uri="{147F2762-F138-4A5C-976F-8EAC2B608ADB}">
              <a16:predDERef xmlns:a16="http://schemas.microsoft.com/office/drawing/2014/main" pred="{2308B83E-3B1A-7253-6065-11D979490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gtp-my.sharepoint.com/personal/asa_baylus_gogtp_com/Documents/Engineering%20-%20Roster.xlsx" TargetMode="External"/><Relationship Id="rId1" Type="http://schemas.openxmlformats.org/officeDocument/2006/relationships/externalLinkPath" Target="Engineering%20-%20Ro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WxZqy-6MEWcN17lC8_bxa3M69j5ep5Cm7prAHvqnHRh3-_NHZWKSqH3gPiomzf0" itemId="01PHCUJETTZP23A7GBVFDK6DNO7KJV75RB">
      <xxl21:absoluteUrl r:id="rId2"/>
    </xxl21:alternateUrls>
    <sheetNames>
      <sheetName val="Eng Dashboard"/>
      <sheetName val="Workstream Dashboard (Annu Bak)"/>
      <sheetName val="Sheet4"/>
      <sheetName val="Workstreams (2)"/>
      <sheetName val="Workstreams (backup)"/>
      <sheetName val="Workstream Dashboard"/>
      <sheetName val="Workstream Pivot (Discipline)"/>
      <sheetName val="New Hires (Asks)"/>
      <sheetName val="Vendor Hires Share"/>
      <sheetName val="Roster"/>
      <sheetName val="Current vs Proposed"/>
      <sheetName val="Demand Capacity"/>
      <sheetName val="Per-Person Allocation"/>
      <sheetName val="Project x Month (2)"/>
      <sheetName val="Project x Month"/>
      <sheetName val="Project Workstream Map"/>
      <sheetName val="Gap Analysis Saved"/>
      <sheetName val="Archived People"/>
      <sheetName val="Keep - Backup"/>
      <sheetName val="Lookups"/>
      <sheetName val="Roster Backup"/>
      <sheetName val="Workstream Pivot 6-13"/>
      <sheetName val="New Hires - Backup Jun13 2025"/>
      <sheetName val="Demand Capacity - Backup 6-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Demand &amp; Capacity — 2026</v>
          </cell>
        </row>
        <row r="3">
          <cell r="A3" t="str">
            <v>Project</v>
          </cell>
          <cell r="B3" t="str">
            <v>Person</v>
          </cell>
        </row>
        <row r="4">
          <cell r="A4" t="str">
            <v>Autodimensioning</v>
          </cell>
          <cell r="B4" t="str">
            <v>Joe Hosman</v>
          </cell>
        </row>
        <row r="5">
          <cell r="A5" t="str">
            <v>Autodimensioning</v>
          </cell>
          <cell r="B5" t="str">
            <v>Hector Tinajero</v>
          </cell>
        </row>
        <row r="6">
          <cell r="A6" t="str">
            <v>Purchasing</v>
          </cell>
          <cell r="B6" t="str">
            <v>Juan Oliu</v>
          </cell>
        </row>
        <row r="7">
          <cell r="A7" t="str">
            <v>Purchasing</v>
          </cell>
          <cell r="B7" t="str">
            <v>Francisco Micucci</v>
          </cell>
        </row>
        <row r="8">
          <cell r="A8" t="str">
            <v>Purchasing</v>
          </cell>
          <cell r="B8" t="str">
            <v>Eric Spieguel</v>
          </cell>
        </row>
        <row r="9">
          <cell r="A9" t="str">
            <v>Purchasing</v>
          </cell>
          <cell r="B9" t="str">
            <v>Erik Little</v>
          </cell>
        </row>
        <row r="10">
          <cell r="A10" t="str">
            <v>Modules Dashboard</v>
          </cell>
          <cell r="B10" t="str">
            <v>Adrian Castillo</v>
          </cell>
        </row>
        <row r="11">
          <cell r="A11" t="str">
            <v>Modules Dashboard</v>
          </cell>
          <cell r="B11" t="str">
            <v>Antonio Pola</v>
          </cell>
        </row>
        <row r="12">
          <cell r="A12" t="str">
            <v>Modules Dashboard</v>
          </cell>
          <cell r="B12" t="str">
            <v>Matt Duffy</v>
          </cell>
        </row>
        <row r="13">
          <cell r="A13" t="str">
            <v>Modules Dashboard</v>
          </cell>
          <cell r="B13" t="str">
            <v>Murat Ozel</v>
          </cell>
        </row>
        <row r="14">
          <cell r="A14" t="str">
            <v>Modules Dashboard</v>
          </cell>
          <cell r="B14" t="str">
            <v>Zach Ward</v>
          </cell>
        </row>
        <row r="15">
          <cell r="A15" t="str">
            <v>Stability, Reliability, and Performance</v>
          </cell>
          <cell r="B15" t="str">
            <v>Hanan Alsahsan</v>
          </cell>
        </row>
        <row r="16">
          <cell r="A16" t="str">
            <v>Stability, Reliability, and Performance</v>
          </cell>
          <cell r="B16" t="str">
            <v>Erik Little</v>
          </cell>
        </row>
        <row r="17">
          <cell r="A17" t="str">
            <v>Stability, Reliability, and Performance</v>
          </cell>
          <cell r="B17" t="str">
            <v>Hector Tinajero</v>
          </cell>
        </row>
        <row r="18">
          <cell r="A18" t="str">
            <v>Stability, Reliability, and Performance</v>
          </cell>
          <cell r="B18" t="str">
            <v>Aaron Entwistle</v>
          </cell>
        </row>
        <row r="19">
          <cell r="A19" t="str">
            <v>Bug Fixes and Minor Enhancments</v>
          </cell>
          <cell r="B19" t="str">
            <v>Ahmed Sohail</v>
          </cell>
        </row>
        <row r="20">
          <cell r="A20" t="str">
            <v>Bug Fixes and Minor Enhancments</v>
          </cell>
          <cell r="B20" t="str">
            <v>Maaz Qureshi</v>
          </cell>
        </row>
        <row r="21">
          <cell r="A21" t="str">
            <v>Bug Fixes and Minor Enhancments</v>
          </cell>
          <cell r="B21" t="str">
            <v>Joe Hosman</v>
          </cell>
        </row>
        <row r="22">
          <cell r="A22" t="str">
            <v>Bug Fixes and Minor Enhancments</v>
          </cell>
          <cell r="B22" t="str">
            <v>Ignacio Harretche</v>
          </cell>
        </row>
        <row r="23">
          <cell r="A23" t="str">
            <v>Bug Fixes and Minor Enhancments</v>
          </cell>
          <cell r="B23" t="str">
            <v>Chris Cavazos</v>
          </cell>
        </row>
        <row r="24">
          <cell r="A24" t="str">
            <v>Bug Fixes and Minor Enhancments</v>
          </cell>
          <cell r="B24" t="str">
            <v>TBH - Role 4 - Senior Full Stack Engineer</v>
          </cell>
        </row>
        <row r="25">
          <cell r="A25" t="str">
            <v>Bug Fixes and Minor Enhancments</v>
          </cell>
          <cell r="B25" t="str">
            <v>TBH - Role 5 - Senior Full Stack Engineer</v>
          </cell>
        </row>
        <row r="26">
          <cell r="A26" t="str">
            <v>Bug Fixes and Minor Enhancments</v>
          </cell>
          <cell r="B26" t="str">
            <v>Bruce Vaughn</v>
          </cell>
        </row>
        <row r="27">
          <cell r="A27" t="str">
            <v>Intelligence</v>
          </cell>
          <cell r="B27" t="str">
            <v>TBH - Role 1 - Senior Data Architect &amp; Database Engineer (Hands on)</v>
          </cell>
        </row>
        <row r="28">
          <cell r="A28" t="str">
            <v>Workstation &amp; Integrations</v>
          </cell>
          <cell r="B28" t="str">
            <v>Steve Rives</v>
          </cell>
        </row>
        <row r="29">
          <cell r="A29" t="str">
            <v>Workstation &amp; Integrations</v>
          </cell>
          <cell r="B29" t="str">
            <v>Fernando Bastos</v>
          </cell>
        </row>
        <row r="30">
          <cell r="A30" t="str">
            <v>Field Orders</v>
          </cell>
          <cell r="B30" t="str">
            <v>Lautaro Araujo</v>
          </cell>
        </row>
        <row r="31">
          <cell r="A31" t="str">
            <v>Field Orders</v>
          </cell>
          <cell r="B31" t="str">
            <v>Anthony Lehenbauer</v>
          </cell>
        </row>
        <row r="32">
          <cell r="A32" t="str">
            <v>Field Orders</v>
          </cell>
          <cell r="B32" t="str">
            <v>Martin Ferreira</v>
          </cell>
        </row>
        <row r="33">
          <cell r="A33" t="str">
            <v>DevEx</v>
          </cell>
          <cell r="B33" t="str">
            <v>Aaron Entwistle</v>
          </cell>
        </row>
        <row r="34">
          <cell r="A34" t="str">
            <v>DevEx</v>
          </cell>
          <cell r="B34" t="str">
            <v>TBH - Role 8 - Senior Platform Engineer</v>
          </cell>
        </row>
        <row r="35">
          <cell r="A35" t="str">
            <v>Infrastructure Stability</v>
          </cell>
          <cell r="B35" t="str">
            <v>Anisah Reed</v>
          </cell>
        </row>
        <row r="36">
          <cell r="A36" t="str">
            <v>Forms</v>
          </cell>
          <cell r="B36" t="str">
            <v>TBH - Role 9 - Senior Full Stack Engineer</v>
          </cell>
        </row>
        <row r="37">
          <cell r="A37" t="str">
            <v>Infrastructure Stability</v>
          </cell>
          <cell r="B37" t="str">
            <v>Zach Ward</v>
          </cell>
        </row>
        <row r="38">
          <cell r="A38" t="str">
            <v>Dashboard/Workflow Improvements</v>
          </cell>
          <cell r="B38" t="str">
            <v>Joe Hosman</v>
          </cell>
        </row>
        <row r="39">
          <cell r="A39" t="str">
            <v>New Module Viewer POC/Demo</v>
          </cell>
          <cell r="B39" t="str">
            <v>Ryan Trimble</v>
          </cell>
        </row>
        <row r="40">
          <cell r="A40" t="str">
            <v>New Module Viewer POC/Demo</v>
          </cell>
          <cell r="B40" t="str">
            <v>Tomas Gorkin</v>
          </cell>
        </row>
        <row r="41">
          <cell r="A41" t="str">
            <v>New Module Viewer POC/Demo</v>
          </cell>
          <cell r="B41" t="str">
            <v>David Rozen</v>
          </cell>
        </row>
        <row r="42">
          <cell r="A42" t="str">
            <v>Intelligence</v>
          </cell>
          <cell r="B42" t="str">
            <v>TBH - Role 6 - Senior Lead AI/ML Architect</v>
          </cell>
        </row>
        <row r="43">
          <cell r="A43" t="str">
            <v>Bug Fixes and Minor Enhancments</v>
          </cell>
          <cell r="B43" t="str">
            <v>TBH - Role 5 - Senior Full Stack Engineer</v>
          </cell>
        </row>
        <row r="44">
          <cell r="A44" t="str">
            <v>Forms</v>
          </cell>
          <cell r="B44" t="str">
            <v>Ahmed Sohail</v>
          </cell>
        </row>
        <row r="45">
          <cell r="A45" t="str">
            <v>Forms</v>
          </cell>
          <cell r="B45" t="str">
            <v>Glenn Holmes</v>
          </cell>
        </row>
        <row r="46">
          <cell r="A46" t="str">
            <v>Reduce IT Friction</v>
          </cell>
          <cell r="B46" t="str">
            <v>Kyle Snyder</v>
          </cell>
        </row>
        <row r="47">
          <cell r="A47" t="str">
            <v>Reduce IT Friction</v>
          </cell>
          <cell r="B47" t="str">
            <v>Zach Ward</v>
          </cell>
        </row>
        <row r="48">
          <cell r="A48" t="str">
            <v>Labs Experiments</v>
          </cell>
          <cell r="B48" t="str">
            <v>Don Porter</v>
          </cell>
        </row>
        <row r="49">
          <cell r="A49" t="str">
            <v>Labs Experiments</v>
          </cell>
          <cell r="B49" t="str">
            <v>Andy Robins</v>
          </cell>
        </row>
        <row r="50">
          <cell r="A50" t="str">
            <v>Package Cloning/Divisions Demo</v>
          </cell>
          <cell r="B50" t="str">
            <v>Ahmed Sohail</v>
          </cell>
        </row>
        <row r="51">
          <cell r="A51" t="str">
            <v>Company Snapshots</v>
          </cell>
          <cell r="B51" t="str">
            <v>Maaz Qureshi</v>
          </cell>
        </row>
        <row r="52">
          <cell r="A52" t="str">
            <v>Single Service Account (SSA)</v>
          </cell>
          <cell r="B52" t="str">
            <v>Maaz Qureshi</v>
          </cell>
        </row>
        <row r="53">
          <cell r="A53" t="str">
            <v>Part Template Filtering</v>
          </cell>
          <cell r="B53" t="str">
            <v>Ahmed Sohail</v>
          </cell>
        </row>
        <row r="54">
          <cell r="A54" t="str">
            <v>WorkOS/Auth</v>
          </cell>
          <cell r="B54" t="str">
            <v>Anisah Reed</v>
          </cell>
        </row>
        <row r="55">
          <cell r="A55" t="str">
            <v>BOM Reconciliation</v>
          </cell>
          <cell r="B55" t="str">
            <v>Ahmed Sohail</v>
          </cell>
        </row>
        <row r="56">
          <cell r="A56" t="str">
            <v>Architect</v>
          </cell>
          <cell r="B56" t="str">
            <v>TBH - Role 3 - Senior Full Stack Engineer</v>
          </cell>
        </row>
        <row r="57">
          <cell r="A57" t="str">
            <v>Architect</v>
          </cell>
          <cell r="B57" t="str">
            <v>TBH - Role 4</v>
          </cell>
        </row>
        <row r="58">
          <cell r="A58" t="str">
            <v>Admin / Overhead</v>
          </cell>
          <cell r="B58" t="str">
            <v>Anthony Anderson</v>
          </cell>
        </row>
        <row r="59">
          <cell r="A59" t="str">
            <v>Admin / Overhead</v>
          </cell>
          <cell r="B59" t="str">
            <v>Asa Baylus</v>
          </cell>
        </row>
        <row r="60">
          <cell r="A60" t="str">
            <v>Admin / Overhead</v>
          </cell>
          <cell r="B60" t="str">
            <v>Jonathan Umscheid</v>
          </cell>
        </row>
        <row r="61">
          <cell r="A61" t="str">
            <v>Admin / Overhead</v>
          </cell>
          <cell r="B61" t="str">
            <v>Crystal Ross</v>
          </cell>
        </row>
        <row r="62">
          <cell r="A62" t="str">
            <v>Admin / Overhead</v>
          </cell>
          <cell r="B62" t="str">
            <v>Chris Bown</v>
          </cell>
        </row>
        <row r="63">
          <cell r="A63" t="str">
            <v>Customer Support</v>
          </cell>
          <cell r="B63" t="str">
            <v>Christian Johnston</v>
          </cell>
        </row>
        <row r="64">
          <cell r="A64" t="str">
            <v>Customer Support</v>
          </cell>
          <cell r="B64" t="str">
            <v>Skylar Ryals</v>
          </cell>
        </row>
        <row r="65">
          <cell r="A65" t="str">
            <v>Customer Support</v>
          </cell>
          <cell r="B65" t="str">
            <v>Jonah Sly</v>
          </cell>
        </row>
        <row r="66">
          <cell r="A66" t="str">
            <v>Workstation &amp; Integrations</v>
          </cell>
          <cell r="B66" t="str">
            <v>TBH - Role 7 - Works Engineer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a Baylus" id="{7CA3FA89-ACAB-4059-A6C3-DA3FE99FB222}" userId="S::asa.baylus@gogtp.com::12c3d250-3db3-420d-8aed-1450f7fad1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5" dT="2026-06-11T14:08:09.37" personId="{7CA3FA89-ACAB-4059-A6C3-DA3FE99FB222}" id="{7B64998F-4230-4C7B-BBF0-ED546EC317FF}">
    <text>Ver high LOC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9BEDEF-FCD9-4BF6-A573-2FCCF833C02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9071800-6876-4fe2-873f-53f98251c3a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BD39-D1CB-4D9C-98FB-CB341EE2F78B}">
  <sheetPr>
    <tabColor rgb="FF1F4E78"/>
  </sheetPr>
  <dimension ref="A1:R50"/>
  <sheetViews>
    <sheetView topLeftCell="A6" workbookViewId="0">
      <selection activeCell="A11" sqref="A11:F11"/>
    </sheetView>
  </sheetViews>
  <sheetFormatPr defaultRowHeight="15" outlineLevelCol="1"/>
  <cols>
    <col min="1" max="1" width="31.42578125" customWidth="1"/>
    <col min="2" max="2" width="19" customWidth="1"/>
    <col min="3" max="7" width="15.28515625" customWidth="1"/>
    <col min="8" max="8" width="24.7109375" customWidth="1"/>
    <col min="9" max="11" width="13.28515625" customWidth="1"/>
    <col min="14" max="17" width="0" hidden="1" customWidth="1" outlineLevel="1"/>
    <col min="18" max="18" width="9.140625" collapsed="1"/>
  </cols>
  <sheetData>
    <row r="1" spans="1:17" ht="24">
      <c r="A1" s="13" t="s">
        <v>0</v>
      </c>
      <c r="N1" t="s">
        <v>1</v>
      </c>
      <c r="O1" t="s">
        <v>2</v>
      </c>
      <c r="P1" t="s">
        <v>3</v>
      </c>
      <c r="Q1" t="s">
        <v>4</v>
      </c>
    </row>
    <row r="2" spans="1:17">
      <c r="A2" s="14" t="s">
        <v>5</v>
      </c>
      <c r="N2" t="str" cm="1">
        <f t="array" ref="N2:N35">_xlfn._xlws.FILTER(Data!A3:A39,Data!L3:L39&lt;&gt;"")</f>
        <v>Anthony Anderson</v>
      </c>
      <c r="O2" t="str" cm="1">
        <f t="array" ref="O2:O35">_xlfn._xlws.FILTER(Data!C3:C39,Data!L3:L39&lt;&gt;"")</f>
        <v>Engineering Leadership</v>
      </c>
      <c r="P2" cm="1">
        <f t="array" ref="P2:P35">_xlfn._xlws.FILTER(Data!AE3:AE39,Data!L3:L39&lt;&gt;"")</f>
        <v>3</v>
      </c>
      <c r="Q2" cm="1">
        <f t="array" ref="Q2:Q35">_xlfn._xlws.FILTER(Data!AG3:AG39,Data!L3:L39&lt;&gt;"")</f>
        <v>1529</v>
      </c>
    </row>
    <row r="3" spans="1:17">
      <c r="A3" s="32" t="s">
        <v>6</v>
      </c>
      <c r="N3" t="str">
        <v>Asa Baylus</v>
      </c>
      <c r="O3" t="str">
        <v>Engineering Leadership</v>
      </c>
      <c r="P3">
        <v>9</v>
      </c>
      <c r="Q3">
        <v>50491</v>
      </c>
    </row>
    <row r="4" spans="1:17">
      <c r="A4" s="32"/>
      <c r="N4" t="str">
        <v>Jonathan Umscheid</v>
      </c>
      <c r="O4" t="str">
        <v>Engineering Leadership</v>
      </c>
      <c r="P4">
        <v>9</v>
      </c>
      <c r="Q4">
        <v>33593</v>
      </c>
    </row>
    <row r="5" spans="1:17" ht="17.25">
      <c r="A5" s="15" t="s">
        <v>7</v>
      </c>
      <c r="N5" t="str">
        <v>Chris Bown</v>
      </c>
      <c r="O5" t="str">
        <v>Engineering Leadership</v>
      </c>
      <c r="P5">
        <v>178</v>
      </c>
      <c r="Q5">
        <v>116798</v>
      </c>
    </row>
    <row r="6" spans="1:17">
      <c r="A6" s="5" t="s">
        <v>2</v>
      </c>
      <c r="B6" s="16" t="s">
        <v>8</v>
      </c>
      <c r="C6" s="16" t="s">
        <v>9</v>
      </c>
      <c r="D6" s="16" t="s">
        <v>10</v>
      </c>
      <c r="E6" s="16" t="s">
        <v>11</v>
      </c>
      <c r="F6" s="16" t="s">
        <v>12</v>
      </c>
      <c r="N6" t="str">
        <v>Andy Robins</v>
      </c>
      <c r="O6" t="str">
        <v>Labs</v>
      </c>
      <c r="P6">
        <v>0</v>
      </c>
      <c r="Q6">
        <v>3418</v>
      </c>
    </row>
    <row r="7" spans="1:17">
      <c r="A7" t="s">
        <v>13</v>
      </c>
      <c r="B7" s="17">
        <f>SUMIF(Data!$C$3:$C$39,$A7,Data!$AE$3:$AE$39)</f>
        <v>199</v>
      </c>
      <c r="C7" s="18">
        <f>B7/$B$12</f>
        <v>0.21329046087888531</v>
      </c>
      <c r="D7" s="17">
        <f>SUMIF(Data!$C$3:$C$39,$A7,Data!$AG$3:$AG$39)</f>
        <v>202411</v>
      </c>
      <c r="E7" s="18">
        <f>D7/$D$12</f>
        <v>4.1590734482454657E-2</v>
      </c>
      <c r="F7" s="11">
        <f>COUNTIFS(Data!$C$3:$C$39,$A7,Data!$L$3:$L$39,"&lt;&gt;")</f>
        <v>4</v>
      </c>
      <c r="N7" t="str">
        <v>Don Porter</v>
      </c>
      <c r="O7" t="str">
        <v>Labs</v>
      </c>
      <c r="P7">
        <v>0</v>
      </c>
      <c r="Q7">
        <v>198208</v>
      </c>
    </row>
    <row r="8" spans="1:17">
      <c r="A8" t="s">
        <v>14</v>
      </c>
      <c r="B8" s="17">
        <f>SUMIF(Data!$C$3:$C$39,$A8,Data!$AE$3:$AE$39)</f>
        <v>62</v>
      </c>
      <c r="C8" s="18">
        <f t="shared" ref="C8:C12" si="0">B8/$B$12</f>
        <v>6.6452304394426578E-2</v>
      </c>
      <c r="D8" s="17">
        <f>SUMIF(Data!$C$3:$C$39,$A8,Data!$AG$3:$AG$39)</f>
        <v>1519078</v>
      </c>
      <c r="E8" s="18">
        <f t="shared" ref="E8:E12" si="1">D8/$D$12</f>
        <v>0.31213506062485863</v>
      </c>
      <c r="F8" s="11">
        <f>COUNTIFS(Data!$C$3:$C$39,$A8,Data!$L$3:$L$39,"&lt;&gt;")</f>
        <v>5</v>
      </c>
      <c r="N8" t="str">
        <v>Francisco Micucci</v>
      </c>
      <c r="O8" t="str">
        <v>Labs</v>
      </c>
      <c r="P8">
        <v>39</v>
      </c>
      <c r="Q8">
        <v>37507</v>
      </c>
    </row>
    <row r="9" spans="1:17">
      <c r="A9" t="s">
        <v>15</v>
      </c>
      <c r="B9" s="17">
        <f>SUMIF(Data!$C$3:$C$39,$A9,Data!$AE$3:$AE$39)</f>
        <v>174</v>
      </c>
      <c r="C9" s="18">
        <f t="shared" si="0"/>
        <v>0.18649517684887459</v>
      </c>
      <c r="D9" s="17">
        <f>SUMIF(Data!$C$3:$C$39,$A9,Data!$AG$3:$AG$39)</f>
        <v>31145</v>
      </c>
      <c r="E9" s="18">
        <f t="shared" si="1"/>
        <v>6.3995703072266341E-3</v>
      </c>
      <c r="F9" s="11">
        <f>COUNTIFS(Data!$C$3:$C$39,$A9,Data!$L$3:$L$39,"&lt;&gt;")</f>
        <v>4</v>
      </c>
      <c r="N9" t="str">
        <v>Eric Spieguel</v>
      </c>
      <c r="O9" t="str">
        <v>Labs</v>
      </c>
      <c r="P9">
        <v>1</v>
      </c>
      <c r="Q9">
        <v>18176</v>
      </c>
    </row>
    <row r="10" spans="1:17">
      <c r="A10" t="s">
        <v>16</v>
      </c>
      <c r="B10" s="17">
        <f>SUMIF(Data!$C$3:$C$39,$A10,Data!$AE$3:$AE$39)</f>
        <v>495</v>
      </c>
      <c r="C10" s="18">
        <f t="shared" si="0"/>
        <v>0.53054662379421225</v>
      </c>
      <c r="D10" s="17">
        <f>SUMIF(Data!$C$3:$C$39,$A10,Data!$AG$3:$AG$39)</f>
        <v>3106834</v>
      </c>
      <c r="E10" s="18">
        <f t="shared" si="1"/>
        <v>0.63838184671318521</v>
      </c>
      <c r="F10" s="11">
        <f>COUNTIFS(Data!$C$3:$C$39,$A10,Data!$L$3:$L$39,"&lt;&gt;")</f>
        <v>20</v>
      </c>
      <c r="N10" t="str">
        <v>Juan Oliu</v>
      </c>
      <c r="O10" t="str">
        <v>Labs</v>
      </c>
      <c r="P10">
        <v>22</v>
      </c>
      <c r="Q10">
        <v>1261769</v>
      </c>
    </row>
    <row r="11" spans="1:17">
      <c r="A11" t="s">
        <v>17</v>
      </c>
      <c r="B11" s="17">
        <f>SUMIF(Data!$C$3:$C$39,$A11,Data!$AE$3:$AE$39)</f>
        <v>3</v>
      </c>
      <c r="C11" s="18">
        <f t="shared" si="0"/>
        <v>3.2154340836012861E-3</v>
      </c>
      <c r="D11" s="17">
        <f>SUMIF(Data!$C$3:$C$39,$A11,Data!$AG$3:$AG$39)</f>
        <v>7265</v>
      </c>
      <c r="E11" s="18">
        <f t="shared" si="1"/>
        <v>1.4927878722748916E-3</v>
      </c>
      <c r="F11" s="11">
        <f>COUNTIFS(Data!$C$3:$C$39,$A11,Data!$L$3:$L$39,"&lt;&gt;")</f>
        <v>1</v>
      </c>
      <c r="N11" t="str">
        <v>Aaron Entwistle</v>
      </c>
      <c r="O11" t="str">
        <v>Platform</v>
      </c>
      <c r="P11">
        <v>64</v>
      </c>
      <c r="Q11">
        <v>12408</v>
      </c>
    </row>
    <row r="12" spans="1:17">
      <c r="A12" s="4" t="s">
        <v>18</v>
      </c>
      <c r="B12" s="17">
        <f>SUM(B7:B11)</f>
        <v>933</v>
      </c>
      <c r="C12" s="18">
        <f>SUM(C7:C11)</f>
        <v>1</v>
      </c>
      <c r="D12" s="17">
        <f>SUM(D7:D11)</f>
        <v>4866733</v>
      </c>
      <c r="E12" s="18">
        <f>SUM(E7:E11)</f>
        <v>1</v>
      </c>
      <c r="F12" s="11">
        <f>SUM(F7:F11)</f>
        <v>34</v>
      </c>
      <c r="N12" t="str">
        <v>Anisah Reed</v>
      </c>
      <c r="O12" t="str">
        <v>Platform</v>
      </c>
      <c r="P12">
        <v>5</v>
      </c>
      <c r="Q12">
        <v>6005</v>
      </c>
    </row>
    <row r="13" spans="1:17">
      <c r="N13" t="str">
        <v>Zach Ward</v>
      </c>
      <c r="O13" t="str">
        <v>Platform</v>
      </c>
      <c r="P13">
        <v>100</v>
      </c>
      <c r="Q13">
        <v>12621</v>
      </c>
    </row>
    <row r="14" spans="1:17" ht="17.25">
      <c r="A14" s="31" t="s">
        <v>19</v>
      </c>
      <c r="G14" s="15" t="s">
        <v>20</v>
      </c>
      <c r="N14" t="str">
        <v>Kyle Snyder</v>
      </c>
      <c r="O14" t="str">
        <v>Platform</v>
      </c>
      <c r="P14">
        <v>5</v>
      </c>
      <c r="Q14">
        <v>111</v>
      </c>
    </row>
    <row r="15" spans="1:17">
      <c r="A15" s="20" t="s">
        <v>21</v>
      </c>
      <c r="B15" s="19" t="s">
        <v>22</v>
      </c>
      <c r="C15" s="21" t="s">
        <v>3</v>
      </c>
      <c r="D15" s="21" t="s">
        <v>4</v>
      </c>
      <c r="E15" s="19" t="s">
        <v>2</v>
      </c>
      <c r="G15" s="23" t="s">
        <v>21</v>
      </c>
      <c r="H15" s="22" t="s">
        <v>22</v>
      </c>
      <c r="I15" s="24" t="s">
        <v>3</v>
      </c>
      <c r="J15" s="24" t="s">
        <v>4</v>
      </c>
      <c r="K15" s="22" t="s">
        <v>2</v>
      </c>
      <c r="N15" t="str">
        <v>Antonio Pola</v>
      </c>
      <c r="O15" t="str">
        <v>Core</v>
      </c>
      <c r="P15">
        <v>13</v>
      </c>
      <c r="Q15">
        <v>7110</v>
      </c>
    </row>
    <row r="16" spans="1:17">
      <c r="A16" s="25" cm="1">
        <f t="array" ref="A16:A25">_xlfn.SEQUENCE(10)</f>
        <v>1</v>
      </c>
      <c r="B16" t="str" cm="1">
        <f t="array" ref="B16:B25">_xlfn.TAKE(_xlfn.SORTBY(_xlfn.ANCHORARRAY($N$2),_xlfn.ANCHORARRAY($P$2),-1),10)</f>
        <v>Chris Bown</v>
      </c>
      <c r="C16" s="8" cm="1">
        <f t="array" ref="C16:C25">_xlfn.TAKE(_xlfn.SORTBY(_xlfn.ANCHORARRAY($P$2),_xlfn.ANCHORARRAY($P$2),-1),10)</f>
        <v>178</v>
      </c>
      <c r="D16" s="8" cm="1">
        <f t="array" ref="D16:D25">_xlfn.TAKE(_xlfn.SORTBY(_xlfn.ANCHORARRAY($Q$2),_xlfn.ANCHORARRAY($P$2),-1),10)</f>
        <v>116798</v>
      </c>
      <c r="E16" t="str" cm="1">
        <f t="array" ref="E16:E25">_xlfn.TAKE(_xlfn.SORTBY(_xlfn.ANCHORARRAY($O$2),_xlfn.ANCHORARRAY($P$2),-1),10)</f>
        <v>Engineering Leadership</v>
      </c>
      <c r="G16" s="25" cm="1">
        <f t="array" ref="G16:G25">_xlfn.SEQUENCE(10)</f>
        <v>1</v>
      </c>
      <c r="H16" t="str" cm="1">
        <f t="array" ref="H16:H25">_xlfn.TAKE(_xlfn.SORTBY(_xlfn.ANCHORARRAY($N$2),_xlfn.ANCHORARRAY($P$2),1),10)</f>
        <v>Andy Robins</v>
      </c>
      <c r="I16" s="8" cm="1">
        <f t="array" ref="I16:I25">_xlfn.TAKE(_xlfn.SORTBY(_xlfn.ANCHORARRAY($P$2),_xlfn.ANCHORARRAY($P$2),1),10)</f>
        <v>0</v>
      </c>
      <c r="J16" s="8" cm="1">
        <f t="array" ref="J16:J25">_xlfn.TAKE(_xlfn.SORTBY(_xlfn.ANCHORARRAY($Q$2),_xlfn.ANCHORARRAY($P$2),1),10)</f>
        <v>3418</v>
      </c>
      <c r="K16" t="str" cm="1">
        <f t="array" ref="K16:K25">_xlfn.TAKE(_xlfn.SORTBY(_xlfn.ANCHORARRAY($O$2),_xlfn.ANCHORARRAY($P$2),1),10)</f>
        <v>Labs</v>
      </c>
      <c r="N16" t="str">
        <v>Adrian Castillo</v>
      </c>
      <c r="O16" t="str">
        <v>Core</v>
      </c>
      <c r="P16">
        <v>30</v>
      </c>
      <c r="Q16">
        <v>93830</v>
      </c>
    </row>
    <row r="17" spans="1:17">
      <c r="A17" s="25">
        <v>2</v>
      </c>
      <c r="B17" t="str">
        <v>Zach Ward</v>
      </c>
      <c r="C17" s="8">
        <v>100</v>
      </c>
      <c r="D17" s="8">
        <v>12621</v>
      </c>
      <c r="E17" t="str">
        <v>Platform</v>
      </c>
      <c r="G17" s="25">
        <v>2</v>
      </c>
      <c r="H17" t="str">
        <v>Don Porter</v>
      </c>
      <c r="I17" s="8">
        <v>0</v>
      </c>
      <c r="J17" s="8">
        <v>198208</v>
      </c>
      <c r="K17" t="str">
        <v>Labs</v>
      </c>
      <c r="N17" t="str">
        <v>Matt Duffy</v>
      </c>
      <c r="O17" t="str">
        <v>Core</v>
      </c>
      <c r="P17">
        <v>28</v>
      </c>
      <c r="Q17">
        <v>15020</v>
      </c>
    </row>
    <row r="18" spans="1:17">
      <c r="A18" s="25">
        <v>3</v>
      </c>
      <c r="B18" t="str">
        <v>Aaron Entwistle</v>
      </c>
      <c r="C18" s="8">
        <v>64</v>
      </c>
      <c r="D18" s="8">
        <v>12408</v>
      </c>
      <c r="E18" t="str">
        <v>Platform</v>
      </c>
      <c r="G18" s="25">
        <v>3</v>
      </c>
      <c r="H18" t="str">
        <v>Murat Ozel</v>
      </c>
      <c r="I18" s="8">
        <v>0</v>
      </c>
      <c r="J18" s="8">
        <v>30</v>
      </c>
      <c r="K18" t="str">
        <v>Core</v>
      </c>
      <c r="N18" t="str">
        <v>Hector Tinajero</v>
      </c>
      <c r="O18" t="str">
        <v>Core</v>
      </c>
      <c r="P18">
        <v>6</v>
      </c>
      <c r="Q18">
        <v>1628</v>
      </c>
    </row>
    <row r="19" spans="1:17">
      <c r="A19" s="25">
        <v>4</v>
      </c>
      <c r="B19" t="str">
        <v>David Rozen</v>
      </c>
      <c r="C19" s="8">
        <v>62</v>
      </c>
      <c r="D19" s="8">
        <v>45942</v>
      </c>
      <c r="E19" t="str">
        <v>Core</v>
      </c>
      <c r="G19" s="25">
        <v>4</v>
      </c>
      <c r="H19" t="str">
        <v>Eric Spieguel</v>
      </c>
      <c r="I19" s="8">
        <v>1</v>
      </c>
      <c r="J19" s="8">
        <v>18176</v>
      </c>
      <c r="K19" t="str">
        <v>Labs</v>
      </c>
      <c r="N19" t="str">
        <v>David Rozen</v>
      </c>
      <c r="O19" t="str">
        <v>Core</v>
      </c>
      <c r="P19">
        <v>62</v>
      </c>
      <c r="Q19">
        <v>45942</v>
      </c>
    </row>
    <row r="20" spans="1:17">
      <c r="A20" s="25">
        <v>5</v>
      </c>
      <c r="B20" t="str">
        <v>Tomas Gorkin</v>
      </c>
      <c r="C20" s="8">
        <v>61</v>
      </c>
      <c r="D20" s="8">
        <v>128000</v>
      </c>
      <c r="E20" t="str">
        <v>Core</v>
      </c>
      <c r="G20" s="25">
        <v>5</v>
      </c>
      <c r="H20" t="str">
        <v>Bruce Vaughn</v>
      </c>
      <c r="I20" s="8">
        <v>2</v>
      </c>
      <c r="J20" s="8">
        <v>1320</v>
      </c>
      <c r="K20" t="str">
        <v>Core</v>
      </c>
      <c r="N20" t="str">
        <v>Ryan Trimble</v>
      </c>
      <c r="O20" t="str">
        <v>Core</v>
      </c>
      <c r="P20">
        <v>27</v>
      </c>
      <c r="Q20">
        <v>51229</v>
      </c>
    </row>
    <row r="21" spans="1:17">
      <c r="A21" s="25">
        <v>6</v>
      </c>
      <c r="B21" t="str">
        <v>Joe Hosman</v>
      </c>
      <c r="C21" s="8">
        <v>50</v>
      </c>
      <c r="D21" s="8">
        <v>128300</v>
      </c>
      <c r="E21" t="str">
        <v>Core</v>
      </c>
      <c r="G21" s="25">
        <v>6</v>
      </c>
      <c r="H21" t="str">
        <v>Anthony Anderson</v>
      </c>
      <c r="I21" s="8">
        <v>3</v>
      </c>
      <c r="J21" s="8">
        <v>1529</v>
      </c>
      <c r="K21" t="str">
        <v>Engineering Leadership</v>
      </c>
      <c r="N21" t="str">
        <v>Maaz Qureshi</v>
      </c>
      <c r="O21" t="str">
        <v>Core</v>
      </c>
      <c r="P21">
        <v>24</v>
      </c>
      <c r="Q21">
        <v>24497</v>
      </c>
    </row>
    <row r="22" spans="1:17">
      <c r="A22" s="25">
        <v>7</v>
      </c>
      <c r="B22" t="str">
        <v>Fernando Bastos</v>
      </c>
      <c r="C22" s="8">
        <v>41</v>
      </c>
      <c r="D22" s="8">
        <v>37364</v>
      </c>
      <c r="E22" t="str">
        <v>Core</v>
      </c>
      <c r="G22" s="25">
        <v>7</v>
      </c>
      <c r="H22" t="str">
        <v>Skylar Ryals</v>
      </c>
      <c r="I22" s="8">
        <v>3</v>
      </c>
      <c r="J22" s="8">
        <v>7265</v>
      </c>
      <c r="K22" t="str">
        <v>Technical Support</v>
      </c>
      <c r="N22" t="str">
        <v>Ahmed Sohail</v>
      </c>
      <c r="O22" t="str">
        <v>Core</v>
      </c>
      <c r="P22">
        <v>17</v>
      </c>
      <c r="Q22">
        <v>20966</v>
      </c>
    </row>
    <row r="23" spans="1:17">
      <c r="A23" s="25">
        <v>8</v>
      </c>
      <c r="B23" t="str">
        <v>Steve Rives</v>
      </c>
      <c r="C23" s="8">
        <v>40</v>
      </c>
      <c r="D23" s="8">
        <v>25480</v>
      </c>
      <c r="E23" t="str">
        <v>Core</v>
      </c>
      <c r="G23" s="25">
        <v>8</v>
      </c>
      <c r="H23" t="str">
        <v>Chris Cavazos</v>
      </c>
      <c r="I23" s="8">
        <v>4</v>
      </c>
      <c r="J23" s="8">
        <v>547</v>
      </c>
      <c r="K23" t="str">
        <v>Core</v>
      </c>
      <c r="N23" t="str">
        <v>Joe Hosman</v>
      </c>
      <c r="O23" t="str">
        <v>Core</v>
      </c>
      <c r="P23">
        <v>50</v>
      </c>
      <c r="Q23">
        <v>128300</v>
      </c>
    </row>
    <row r="24" spans="1:17">
      <c r="A24" s="25">
        <v>9</v>
      </c>
      <c r="B24" t="str">
        <v>Francisco Micucci</v>
      </c>
      <c r="C24" s="8">
        <v>39</v>
      </c>
      <c r="D24" s="8">
        <v>37507</v>
      </c>
      <c r="E24" t="str">
        <v>Labs</v>
      </c>
      <c r="G24" s="25">
        <v>9</v>
      </c>
      <c r="H24" t="str">
        <v>Anisah Reed</v>
      </c>
      <c r="I24" s="8">
        <v>5</v>
      </c>
      <c r="J24" s="8">
        <v>6005</v>
      </c>
      <c r="K24" t="str">
        <v>Platform</v>
      </c>
      <c r="N24" t="str">
        <v>Ignacio Harretche</v>
      </c>
      <c r="O24" t="str">
        <v>Core</v>
      </c>
      <c r="P24">
        <v>17</v>
      </c>
      <c r="Q24">
        <v>5253</v>
      </c>
    </row>
    <row r="25" spans="1:17">
      <c r="A25" s="25">
        <v>10</v>
      </c>
      <c r="B25" t="str">
        <v>Anthony Lehenbauer</v>
      </c>
      <c r="C25" s="8">
        <v>31</v>
      </c>
      <c r="D25" s="8">
        <v>2084495</v>
      </c>
      <c r="E25" t="str">
        <v>Core</v>
      </c>
      <c r="G25" s="25">
        <v>10</v>
      </c>
      <c r="H25" t="str">
        <v>Kyle Snyder</v>
      </c>
      <c r="I25" s="8">
        <v>5</v>
      </c>
      <c r="J25" s="8">
        <v>111</v>
      </c>
      <c r="K25" t="str">
        <v>Platform</v>
      </c>
      <c r="N25" t="str">
        <v>Steve Rives</v>
      </c>
      <c r="O25" t="str">
        <v>Core</v>
      </c>
      <c r="P25">
        <v>40</v>
      </c>
      <c r="Q25">
        <v>25480</v>
      </c>
    </row>
    <row r="26" spans="1:17">
      <c r="N26" t="str">
        <v>Fernando Bastos</v>
      </c>
      <c r="O26" t="str">
        <v>Core</v>
      </c>
      <c r="P26">
        <v>41</v>
      </c>
      <c r="Q26">
        <v>37364</v>
      </c>
    </row>
    <row r="27" spans="1:17" ht="17.25">
      <c r="A27" s="15" t="s">
        <v>23</v>
      </c>
      <c r="N27" t="str">
        <v>Anthony Lehenbauer</v>
      </c>
      <c r="O27" t="str">
        <v>Core</v>
      </c>
      <c r="P27">
        <v>31</v>
      </c>
      <c r="Q27">
        <v>2084495</v>
      </c>
    </row>
    <row r="28" spans="1:17">
      <c r="A28" s="26" t="s">
        <v>24</v>
      </c>
      <c r="N28" t="str">
        <v>Lautaro Araujo</v>
      </c>
      <c r="O28" t="str">
        <v>Core</v>
      </c>
      <c r="P28">
        <v>17</v>
      </c>
      <c r="Q28">
        <v>23982</v>
      </c>
    </row>
    <row r="29" spans="1:17">
      <c r="A29" s="5" t="s">
        <v>25</v>
      </c>
      <c r="B29" s="16" t="s">
        <v>26</v>
      </c>
      <c r="C29" s="16" t="s">
        <v>27</v>
      </c>
      <c r="D29" s="16" t="s">
        <v>28</v>
      </c>
      <c r="E29" s="16" t="s">
        <v>29</v>
      </c>
      <c r="F29" s="16" t="s">
        <v>30</v>
      </c>
      <c r="G29" s="16" t="s">
        <v>31</v>
      </c>
      <c r="N29" t="str">
        <v>Martin Ferreira</v>
      </c>
      <c r="O29" t="str">
        <v>Core</v>
      </c>
      <c r="P29">
        <v>6</v>
      </c>
      <c r="Q29">
        <v>408252</v>
      </c>
    </row>
    <row r="30" spans="1:17">
      <c r="A30" t="s">
        <v>8</v>
      </c>
      <c r="B30" s="8">
        <f>SUM(Data!M3:M39)</f>
        <v>205</v>
      </c>
      <c r="C30" s="8">
        <f>SUM(Data!P3:P39)</f>
        <v>180</v>
      </c>
      <c r="D30" s="8">
        <f>SUM(Data!S3:S39)</f>
        <v>123</v>
      </c>
      <c r="E30" s="8">
        <f>SUM(Data!V3:V39)</f>
        <v>153</v>
      </c>
      <c r="F30" s="8">
        <f>SUM(Data!Y3:Y39)</f>
        <v>147</v>
      </c>
      <c r="G30" s="8">
        <f>SUM(Data!AB3:AB39)</f>
        <v>125</v>
      </c>
      <c r="N30" t="str">
        <v>Tomas Gorkin</v>
      </c>
      <c r="O30" t="str">
        <v>Core</v>
      </c>
      <c r="P30">
        <v>61</v>
      </c>
      <c r="Q30">
        <v>128000</v>
      </c>
    </row>
    <row r="31" spans="1:17">
      <c r="A31" t="s">
        <v>10</v>
      </c>
      <c r="B31" s="8">
        <f>SUM(Data!O3:O39)</f>
        <v>1118510</v>
      </c>
      <c r="C31" s="8">
        <f>SUM(Data!R3:R39)</f>
        <v>318252</v>
      </c>
      <c r="D31" s="8">
        <f>SUM(Data!U3:U39)</f>
        <v>2327347</v>
      </c>
      <c r="E31" s="8">
        <f>SUM(Data!X3:X39)</f>
        <v>493652</v>
      </c>
      <c r="F31" s="8">
        <f>SUM(Data!AA3:AA39)</f>
        <v>269052</v>
      </c>
      <c r="G31" s="8">
        <f>SUM(Data!AD3:AD39)</f>
        <v>339920</v>
      </c>
      <c r="N31" t="str">
        <v>Bruce Vaughn</v>
      </c>
      <c r="O31" t="str">
        <v>Core</v>
      </c>
      <c r="P31">
        <v>2</v>
      </c>
      <c r="Q31">
        <v>1320</v>
      </c>
    </row>
    <row r="32" spans="1:17">
      <c r="A32" t="s">
        <v>32</v>
      </c>
      <c r="B32" s="11">
        <f>COUNTIF(Data!M3:M39,"&gt;0")</f>
        <v>19</v>
      </c>
      <c r="C32" s="11">
        <f>COUNTIF(Data!P3:P39,"&gt;0")</f>
        <v>24</v>
      </c>
      <c r="D32" s="11">
        <f>COUNTIF(Data!S3:S39,"&gt;0")</f>
        <v>21</v>
      </c>
      <c r="E32" s="11">
        <f>COUNTIF(Data!V3:V39,"&gt;0")</f>
        <v>24</v>
      </c>
      <c r="F32" s="11">
        <f>COUNTIF(Data!Y3:Y39,"&gt;0")</f>
        <v>26</v>
      </c>
      <c r="G32" s="11">
        <f>COUNTIF(Data!AB3:AB39,"&gt;0")</f>
        <v>25</v>
      </c>
      <c r="N32" t="str">
        <v>Murat Ozel</v>
      </c>
      <c r="O32" t="str">
        <v>Core</v>
      </c>
      <c r="P32">
        <v>0</v>
      </c>
      <c r="Q32">
        <v>30</v>
      </c>
    </row>
    <row r="33" spans="1:17">
      <c r="N33" t="str">
        <v>Glenn Holmes</v>
      </c>
      <c r="O33" t="str">
        <v>Core</v>
      </c>
      <c r="P33">
        <v>19</v>
      </c>
      <c r="Q33">
        <v>3589</v>
      </c>
    </row>
    <row r="34" spans="1:17">
      <c r="A34" s="27" t="s">
        <v>33</v>
      </c>
      <c r="N34" t="str">
        <v>Chris Cavazos</v>
      </c>
      <c r="O34" t="str">
        <v>Core</v>
      </c>
      <c r="P34">
        <v>4</v>
      </c>
      <c r="Q34">
        <v>547</v>
      </c>
    </row>
    <row r="35" spans="1:17">
      <c r="A35" s="5" t="s">
        <v>2</v>
      </c>
      <c r="B35" s="16" t="str">
        <f>B29</f>
        <v>May 1–8</v>
      </c>
      <c r="C35" s="16" t="str">
        <f>C29</f>
        <v>May 8–15</v>
      </c>
      <c r="D35" s="16" t="str">
        <f>D29</f>
        <v>May 15–22</v>
      </c>
      <c r="E35" s="16" t="str">
        <f>E29</f>
        <v>May 22–29</v>
      </c>
      <c r="F35" s="16" t="str">
        <f>F29</f>
        <v>May 29–Jun 5</v>
      </c>
      <c r="G35" s="16" t="str">
        <f>G29</f>
        <v>Jun 5–10</v>
      </c>
      <c r="N35" t="str">
        <v>Skylar Ryals</v>
      </c>
      <c r="O35" t="str">
        <v>Technical Support</v>
      </c>
      <c r="P35">
        <v>3</v>
      </c>
      <c r="Q35">
        <v>7265</v>
      </c>
    </row>
    <row r="36" spans="1:17">
      <c r="A36" t="s">
        <v>13</v>
      </c>
      <c r="B36" s="17">
        <f>SUMIF(Data!$C$3:$C$39,$A36,Data!M$3:M$39)</f>
        <v>102</v>
      </c>
      <c r="C36" s="17">
        <f>SUMIF(Data!$C$3:$C$39,$A36,Data!P$3:P$39)</f>
        <v>34</v>
      </c>
      <c r="D36" s="17">
        <f>SUMIF(Data!$C$3:$C$39,$A36,Data!S$3:S$39)</f>
        <v>16</v>
      </c>
      <c r="E36" s="17">
        <f>SUMIF(Data!$C$3:$C$39,$A36,Data!V$3:V$39)</f>
        <v>11</v>
      </c>
      <c r="F36" s="17">
        <f>SUMIF(Data!$C$3:$C$39,$A36,Data!Y$3:Y$39)</f>
        <v>22</v>
      </c>
      <c r="G36" s="17">
        <f>SUMIF(Data!$C$3:$C$39,$A36,Data!AB$3:AB$39)</f>
        <v>14</v>
      </c>
    </row>
    <row r="37" spans="1:17">
      <c r="A37" t="s">
        <v>14</v>
      </c>
      <c r="B37" s="17">
        <f>SUMIF(Data!$C$3:$C$39,$A37,Data!M$3:M$39)</f>
        <v>7</v>
      </c>
      <c r="C37" s="17">
        <f>SUMIF(Data!$C$3:$C$39,$A37,Data!P$3:P$39)</f>
        <v>17</v>
      </c>
      <c r="D37" s="17">
        <f>SUMIF(Data!$C$3:$C$39,$A37,Data!S$3:S$39)</f>
        <v>15</v>
      </c>
      <c r="E37" s="17">
        <f>SUMIF(Data!$C$3:$C$39,$A37,Data!V$3:V$39)</f>
        <v>4</v>
      </c>
      <c r="F37" s="17">
        <f>SUMIF(Data!$C$3:$C$39,$A37,Data!Y$3:Y$39)</f>
        <v>12</v>
      </c>
      <c r="G37" s="17">
        <f>SUMIF(Data!$C$3:$C$39,$A37,Data!AB$3:AB$39)</f>
        <v>7</v>
      </c>
    </row>
    <row r="38" spans="1:17">
      <c r="A38" t="s">
        <v>15</v>
      </c>
      <c r="B38" s="17">
        <f>SUMIF(Data!$C$3:$C$39,$A38,Data!M$3:M$39)</f>
        <v>16</v>
      </c>
      <c r="C38" s="17">
        <f>SUMIF(Data!$C$3:$C$39,$A38,Data!P$3:P$39)</f>
        <v>43</v>
      </c>
      <c r="D38" s="17">
        <f>SUMIF(Data!$C$3:$C$39,$A38,Data!S$3:S$39)</f>
        <v>37</v>
      </c>
      <c r="E38" s="17">
        <f>SUMIF(Data!$C$3:$C$39,$A38,Data!V$3:V$39)</f>
        <v>29</v>
      </c>
      <c r="F38" s="17">
        <f>SUMIF(Data!$C$3:$C$39,$A38,Data!Y$3:Y$39)</f>
        <v>21</v>
      </c>
      <c r="G38" s="17">
        <f>SUMIF(Data!$C$3:$C$39,$A38,Data!AB$3:AB$39)</f>
        <v>28</v>
      </c>
    </row>
    <row r="39" spans="1:17">
      <c r="A39" t="s">
        <v>16</v>
      </c>
      <c r="B39" s="17">
        <f>SUMIF(Data!$C$3:$C$39,$A39,Data!M$3:M$39)</f>
        <v>80</v>
      </c>
      <c r="C39" s="17">
        <f>SUMIF(Data!$C$3:$C$39,$A39,Data!P$3:P$39)</f>
        <v>85</v>
      </c>
      <c r="D39" s="17">
        <f>SUMIF(Data!$C$3:$C$39,$A39,Data!S$3:S$39)</f>
        <v>55</v>
      </c>
      <c r="E39" s="17">
        <f>SUMIF(Data!$C$3:$C$39,$A39,Data!V$3:V$39)</f>
        <v>109</v>
      </c>
      <c r="F39" s="17">
        <f>SUMIF(Data!$C$3:$C$39,$A39,Data!Y$3:Y$39)</f>
        <v>91</v>
      </c>
      <c r="G39" s="17">
        <f>SUMIF(Data!$C$3:$C$39,$A39,Data!AB$3:AB$39)</f>
        <v>75</v>
      </c>
    </row>
    <row r="40" spans="1:17">
      <c r="A40" t="s">
        <v>17</v>
      </c>
      <c r="B40" s="17">
        <f>SUMIF(Data!$C$3:$C$39,$A40,Data!M$3:M$39)</f>
        <v>0</v>
      </c>
      <c r="C40" s="17">
        <f>SUMIF(Data!$C$3:$C$39,$A40,Data!P$3:P$39)</f>
        <v>1</v>
      </c>
      <c r="D40" s="17">
        <f>SUMIF(Data!$C$3:$C$39,$A40,Data!S$3:S$39)</f>
        <v>0</v>
      </c>
      <c r="E40" s="17">
        <f>SUMIF(Data!$C$3:$C$39,$A40,Data!V$3:V$39)</f>
        <v>0</v>
      </c>
      <c r="F40" s="17">
        <f>SUMIF(Data!$C$3:$C$39,$A40,Data!Y$3:Y$39)</f>
        <v>1</v>
      </c>
      <c r="G40" s="17">
        <f>SUMIF(Data!$C$3:$C$39,$A40,Data!AB$3:AB$39)</f>
        <v>1</v>
      </c>
    </row>
    <row r="43" spans="1:17" ht="17.25">
      <c r="A43" s="15" t="s">
        <v>34</v>
      </c>
    </row>
    <row r="44" spans="1:17">
      <c r="A44" s="28" t="s">
        <v>35</v>
      </c>
    </row>
    <row r="45" spans="1:17">
      <c r="A45" s="29" t="s">
        <v>2</v>
      </c>
      <c r="B45" s="30" t="s">
        <v>36</v>
      </c>
    </row>
    <row r="46" spans="1:17">
      <c r="A46" t="s">
        <v>13</v>
      </c>
      <c r="B46" s="17">
        <f>SUMIF(Data!$C$3:$C$39,$A46,Data!$AF$3:$AF$39)</f>
        <v>0</v>
      </c>
    </row>
    <row r="47" spans="1:17">
      <c r="A47" t="s">
        <v>14</v>
      </c>
      <c r="B47" s="17">
        <f>SUMIF(Data!$C$3:$C$39,$A47,Data!$AF$3:$AF$39)</f>
        <v>0</v>
      </c>
    </row>
    <row r="48" spans="1:17">
      <c r="A48" t="s">
        <v>15</v>
      </c>
      <c r="B48" s="17">
        <f>SUMIF(Data!$C$3:$C$39,$A48,Data!$AF$3:$AF$39)</f>
        <v>0</v>
      </c>
    </row>
    <row r="49" spans="1:2">
      <c r="A49" t="s">
        <v>16</v>
      </c>
      <c r="B49" s="17">
        <f>SUMIF(Data!$C$3:$C$39,$A49,Data!$AF$3:$AF$39)</f>
        <v>0</v>
      </c>
    </row>
    <row r="50" spans="1:2">
      <c r="A50" t="s">
        <v>17</v>
      </c>
      <c r="B50" s="17">
        <f>SUMIF(Data!$C$3:$C$39,$A50,Data!$AF$3:$AF$39)</f>
        <v>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9414-0983-4A54-87DC-7F4154926BC6}">
  <dimension ref="A1:AH53"/>
  <sheetViews>
    <sheetView workbookViewId="0"/>
  </sheetViews>
  <sheetFormatPr defaultRowHeight="15"/>
  <cols>
    <col min="1" max="1" width="19" bestFit="1" customWidth="1"/>
    <col min="2" max="2" width="33" customWidth="1"/>
    <col min="3" max="3" width="21.28515625" bestFit="1" customWidth="1"/>
    <col min="4" max="4" width="12" customWidth="1"/>
    <col min="5" max="5" width="18.85546875" customWidth="1"/>
    <col min="6" max="6" width="25.140625" bestFit="1" customWidth="1"/>
    <col min="7" max="7" width="10.140625" bestFit="1" customWidth="1"/>
    <col min="8" max="8" width="16.85546875" customWidth="1"/>
    <col min="9" max="9" width="10.7109375" bestFit="1" customWidth="1"/>
    <col min="10" max="10" width="9.85546875" bestFit="1" customWidth="1"/>
    <col min="11" max="11" width="9.5703125" bestFit="1" customWidth="1"/>
    <col min="12" max="12" width="13.140625" customWidth="1"/>
    <col min="13" max="14" width="8.5703125" customWidth="1"/>
    <col min="15" max="15" width="10.28515625" customWidth="1"/>
    <col min="16" max="17" width="8.5703125" customWidth="1"/>
    <col min="18" max="18" width="10.28515625" customWidth="1"/>
    <col min="19" max="20" width="8.5703125" customWidth="1"/>
    <col min="21" max="21" width="10.28515625" customWidth="1"/>
    <col min="22" max="23" width="8.5703125" customWidth="1"/>
    <col min="24" max="24" width="10.28515625" customWidth="1"/>
    <col min="25" max="26" width="8.5703125" customWidth="1"/>
    <col min="27" max="27" width="10.28515625" customWidth="1"/>
    <col min="28" max="29" width="8.5703125" customWidth="1"/>
    <col min="30" max="30" width="10.28515625" customWidth="1"/>
    <col min="31" max="32" width="8.5703125" customWidth="1"/>
    <col min="33" max="33" width="10.28515625" customWidth="1"/>
    <col min="34" max="34" width="39.7109375" customWidth="1"/>
  </cols>
  <sheetData>
    <row r="1" spans="1:34">
      <c r="A1" s="33" t="s">
        <v>37</v>
      </c>
      <c r="B1" s="33" t="s">
        <v>38</v>
      </c>
      <c r="C1" s="33" t="s">
        <v>2</v>
      </c>
      <c r="D1" s="33" t="s">
        <v>39</v>
      </c>
      <c r="E1" s="33" t="s">
        <v>40</v>
      </c>
      <c r="F1" s="33" t="s">
        <v>41</v>
      </c>
      <c r="G1" s="33" t="s">
        <v>42</v>
      </c>
      <c r="H1" s="33" t="s">
        <v>43</v>
      </c>
      <c r="I1" s="33" t="s">
        <v>44</v>
      </c>
      <c r="J1" s="33" t="s">
        <v>45</v>
      </c>
      <c r="K1" s="33" t="s">
        <v>46</v>
      </c>
      <c r="L1" s="33" t="s">
        <v>47</v>
      </c>
      <c r="M1" s="33" t="s">
        <v>26</v>
      </c>
      <c r="N1" s="33"/>
      <c r="O1" s="33"/>
      <c r="P1" s="33" t="s">
        <v>27</v>
      </c>
      <c r="Q1" s="33"/>
      <c r="R1" s="33"/>
      <c r="S1" s="33" t="s">
        <v>28</v>
      </c>
      <c r="T1" s="33"/>
      <c r="U1" s="33"/>
      <c r="V1" s="33" t="s">
        <v>29</v>
      </c>
      <c r="W1" s="33"/>
      <c r="X1" s="33"/>
      <c r="Y1" s="33" t="s">
        <v>30</v>
      </c>
      <c r="Z1" s="33"/>
      <c r="AA1" s="33"/>
      <c r="AB1" s="33" t="s">
        <v>31</v>
      </c>
      <c r="AC1" s="33"/>
      <c r="AD1" s="33"/>
      <c r="AE1" s="34" t="s">
        <v>18</v>
      </c>
      <c r="AF1" s="34"/>
      <c r="AG1" s="34"/>
      <c r="AH1" s="33" t="s">
        <v>48</v>
      </c>
    </row>
    <row r="2" spans="1:34" ht="36.7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9" t="s">
        <v>49</v>
      </c>
      <c r="N2" s="9" t="s">
        <v>50</v>
      </c>
      <c r="O2" s="9" t="s">
        <v>4</v>
      </c>
      <c r="P2" s="9" t="s">
        <v>49</v>
      </c>
      <c r="Q2" s="9" t="s">
        <v>50</v>
      </c>
      <c r="R2" s="9" t="s">
        <v>4</v>
      </c>
      <c r="S2" s="9" t="s">
        <v>49</v>
      </c>
      <c r="T2" s="9" t="s">
        <v>50</v>
      </c>
      <c r="U2" s="9" t="s">
        <v>4</v>
      </c>
      <c r="V2" s="9" t="s">
        <v>49</v>
      </c>
      <c r="W2" s="9" t="s">
        <v>50</v>
      </c>
      <c r="X2" s="9" t="s">
        <v>4</v>
      </c>
      <c r="Y2" s="9" t="s">
        <v>49</v>
      </c>
      <c r="Z2" s="9" t="s">
        <v>50</v>
      </c>
      <c r="AA2" s="9" t="s">
        <v>4</v>
      </c>
      <c r="AB2" s="9" t="s">
        <v>49</v>
      </c>
      <c r="AC2" s="9" t="s">
        <v>50</v>
      </c>
      <c r="AD2" s="9" t="s">
        <v>4</v>
      </c>
      <c r="AE2" s="10" t="s">
        <v>49</v>
      </c>
      <c r="AF2" s="10" t="s">
        <v>50</v>
      </c>
      <c r="AG2" s="10" t="s">
        <v>4</v>
      </c>
      <c r="AH2" s="33"/>
    </row>
    <row r="3" spans="1:34">
      <c r="A3" s="1" t="s">
        <v>51</v>
      </c>
      <c r="B3" s="1" t="s">
        <v>52</v>
      </c>
      <c r="C3" s="1" t="s">
        <v>13</v>
      </c>
      <c r="D3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1" t="e">
        <f>IF($L3="","",SUMIF(#REF!,$L3,#REF!))</f>
        <v>#REF!</v>
      </c>
      <c r="N3" s="11"/>
      <c r="O3" s="11" t="e">
        <f>IF($L3="","",SUMIF(#REF!,$L3,#REF!))</f>
        <v>#REF!</v>
      </c>
      <c r="P3" s="12" t="e">
        <f>IF($L3="","",SUMIF(#REF!,$L3,#REF!))</f>
        <v>#REF!</v>
      </c>
      <c r="Q3" s="12"/>
      <c r="R3" s="12" t="e">
        <f>IF($L3="","",SUMIF(#REF!,$L3,#REF!))</f>
        <v>#REF!</v>
      </c>
      <c r="S3" s="11" t="e">
        <f>IF($L3="","",SUMIF(#REF!,$L3,#REF!))</f>
        <v>#REF!</v>
      </c>
      <c r="T3" s="11"/>
      <c r="U3" s="11" t="e">
        <f>IF($L3="","",SUMIF(#REF!,$L3,#REF!))</f>
        <v>#REF!</v>
      </c>
      <c r="V3" s="12" t="e">
        <f>IF($L3="","",SUMIF(#REF!,$L3,#REF!))</f>
        <v>#REF!</v>
      </c>
      <c r="W3" s="12"/>
      <c r="X3" s="12" t="e">
        <f>IF($L3="","",SUMIF(#REF!,$L3,#REF!))</f>
        <v>#REF!</v>
      </c>
      <c r="Y3" s="11" t="e">
        <f>IF($L3="","",SUMIF(#REF!,$L3,#REF!))</f>
        <v>#REF!</v>
      </c>
      <c r="Z3" s="11"/>
      <c r="AA3" s="11" t="e">
        <f>IF($L3="","",SUMIF(#REF!,$L3,#REF!))</f>
        <v>#REF!</v>
      </c>
      <c r="AB3" s="12" t="e">
        <f>IF($L3="","",SUMIF(#REF!,$L3,#REF!))</f>
        <v>#REF!</v>
      </c>
      <c r="AC3" s="12"/>
      <c r="AD3" s="12" t="e">
        <f>IF($L3="","",SUMIF(#REF!,$L3,#REF!))</f>
        <v>#REF!</v>
      </c>
      <c r="AE3" s="11" t="e">
        <f>IF($L3="","",SUMIF(#REF!,$L3,#REF!))</f>
        <v>#REF!</v>
      </c>
      <c r="AF3" s="11"/>
      <c r="AG3" s="11" t="e">
        <f>IF($L3="","",SUMIF(#REF!,$L3,#REF!))</f>
        <v>#REF!</v>
      </c>
    </row>
    <row r="4" spans="1:34">
      <c r="A4" s="1" t="s">
        <v>62</v>
      </c>
      <c r="B4" s="1" t="s">
        <v>63</v>
      </c>
      <c r="C4" s="1" t="s">
        <v>13</v>
      </c>
      <c r="D4" t="s">
        <v>53</v>
      </c>
      <c r="E4" s="1" t="s">
        <v>54</v>
      </c>
      <c r="F4" s="1" t="s">
        <v>55</v>
      </c>
      <c r="G4" s="1" t="s">
        <v>56</v>
      </c>
      <c r="H4" s="1" t="s">
        <v>64</v>
      </c>
      <c r="I4" s="1" t="s">
        <v>58</v>
      </c>
      <c r="J4" s="1" t="s">
        <v>59</v>
      </c>
      <c r="K4" s="1" t="s">
        <v>60</v>
      </c>
      <c r="L4" s="1" t="s">
        <v>65</v>
      </c>
      <c r="M4" s="11" t="e">
        <f>IF($L4="","",SUMIF(#REF!,$L4,#REF!))</f>
        <v>#REF!</v>
      </c>
      <c r="N4" s="11"/>
      <c r="O4" s="11" t="e">
        <f>IF($L4="","",SUMIF(#REF!,$L4,#REF!))</f>
        <v>#REF!</v>
      </c>
      <c r="P4" s="12" t="e">
        <f>IF($L4="","",SUMIF(#REF!,$L4,#REF!))</f>
        <v>#REF!</v>
      </c>
      <c r="Q4" s="12"/>
      <c r="R4" s="12" t="e">
        <f>IF($L4="","",SUMIF(#REF!,$L4,#REF!))</f>
        <v>#REF!</v>
      </c>
      <c r="S4" s="11" t="e">
        <f>IF($L4="","",SUMIF(#REF!,$L4,#REF!))</f>
        <v>#REF!</v>
      </c>
      <c r="T4" s="11"/>
      <c r="U4" s="11" t="e">
        <f>IF($L4="","",SUMIF(#REF!,$L4,#REF!))</f>
        <v>#REF!</v>
      </c>
      <c r="V4" s="12" t="e">
        <f>IF($L4="","",SUMIF(#REF!,$L4,#REF!))</f>
        <v>#REF!</v>
      </c>
      <c r="W4" s="12"/>
      <c r="X4" s="12" t="e">
        <f>IF($L4="","",SUMIF(#REF!,$L4,#REF!))</f>
        <v>#REF!</v>
      </c>
      <c r="Y4" s="11" t="e">
        <f>IF($L4="","",SUMIF(#REF!,$L4,#REF!))</f>
        <v>#REF!</v>
      </c>
      <c r="Z4" s="11"/>
      <c r="AA4" s="11" t="e">
        <f>IF($L4="","",SUMIF(#REF!,$L4,#REF!))</f>
        <v>#REF!</v>
      </c>
      <c r="AB4" s="12" t="e">
        <f>IF($L4="","",SUMIF(#REF!,$L4,#REF!))</f>
        <v>#REF!</v>
      </c>
      <c r="AC4" s="12"/>
      <c r="AD4" s="12" t="e">
        <f>IF($L4="","",SUMIF(#REF!,$L4,#REF!))</f>
        <v>#REF!</v>
      </c>
      <c r="AE4" s="11" t="e">
        <f>IF($L4="","",SUMIF(#REF!,$L4,#REF!))</f>
        <v>#REF!</v>
      </c>
      <c r="AF4" s="11"/>
      <c r="AG4" s="11" t="e">
        <f>IF($L4="","",SUMIF(#REF!,$L4,#REF!))</f>
        <v>#REF!</v>
      </c>
    </row>
    <row r="5" spans="1:34">
      <c r="A5" s="1" t="s">
        <v>66</v>
      </c>
      <c r="B5" s="1" t="s">
        <v>67</v>
      </c>
      <c r="C5" s="1" t="s">
        <v>13</v>
      </c>
      <c r="D5" t="s">
        <v>53</v>
      </c>
      <c r="E5" s="1" t="s">
        <v>54</v>
      </c>
      <c r="F5" s="1" t="s">
        <v>55</v>
      </c>
      <c r="G5" s="1" t="s">
        <v>56</v>
      </c>
      <c r="H5" s="1" t="s">
        <v>68</v>
      </c>
      <c r="I5" s="1" t="s">
        <v>58</v>
      </c>
      <c r="J5" s="1" t="s">
        <v>59</v>
      </c>
      <c r="K5" s="1" t="s">
        <v>60</v>
      </c>
      <c r="L5" s="1" t="s">
        <v>69</v>
      </c>
      <c r="M5" s="11" t="e">
        <f>IF($L5="","",SUMIF(#REF!,$L5,#REF!))</f>
        <v>#REF!</v>
      </c>
      <c r="N5" s="11"/>
      <c r="O5" s="11" t="e">
        <f>IF($L5="","",SUMIF(#REF!,$L5,#REF!))</f>
        <v>#REF!</v>
      </c>
      <c r="P5" s="12" t="e">
        <f>IF($L5="","",SUMIF(#REF!,$L5,#REF!))</f>
        <v>#REF!</v>
      </c>
      <c r="Q5" s="12"/>
      <c r="R5" s="12" t="e">
        <f>IF($L5="","",SUMIF(#REF!,$L5,#REF!))</f>
        <v>#REF!</v>
      </c>
      <c r="S5" s="11" t="e">
        <f>IF($L5="","",SUMIF(#REF!,$L5,#REF!))</f>
        <v>#REF!</v>
      </c>
      <c r="T5" s="11"/>
      <c r="U5" s="11" t="e">
        <f>IF($L5="","",SUMIF(#REF!,$L5,#REF!))</f>
        <v>#REF!</v>
      </c>
      <c r="V5" s="12" t="e">
        <f>IF($L5="","",SUMIF(#REF!,$L5,#REF!))</f>
        <v>#REF!</v>
      </c>
      <c r="W5" s="12"/>
      <c r="X5" s="12" t="e">
        <f>IF($L5="","",SUMIF(#REF!,$L5,#REF!))</f>
        <v>#REF!</v>
      </c>
      <c r="Y5" s="11" t="e">
        <f>IF($L5="","",SUMIF(#REF!,$L5,#REF!))</f>
        <v>#REF!</v>
      </c>
      <c r="Z5" s="11"/>
      <c r="AA5" s="11" t="e">
        <f>IF($L5="","",SUMIF(#REF!,$L5,#REF!))</f>
        <v>#REF!</v>
      </c>
      <c r="AB5" s="12" t="e">
        <f>IF($L5="","",SUMIF(#REF!,$L5,#REF!))</f>
        <v>#REF!</v>
      </c>
      <c r="AC5" s="12"/>
      <c r="AD5" s="12" t="e">
        <f>IF($L5="","",SUMIF(#REF!,$L5,#REF!))</f>
        <v>#REF!</v>
      </c>
      <c r="AE5" s="11" t="e">
        <f>IF($L5="","",SUMIF(#REF!,$L5,#REF!))</f>
        <v>#REF!</v>
      </c>
      <c r="AF5" s="11"/>
      <c r="AG5" s="11" t="e">
        <f>IF($L5="","",SUMIF(#REF!,$L5,#REF!))</f>
        <v>#REF!</v>
      </c>
    </row>
    <row r="6" spans="1:34">
      <c r="A6" s="1" t="s">
        <v>70</v>
      </c>
      <c r="B6" s="1" t="s">
        <v>71</v>
      </c>
      <c r="C6" s="1" t="s">
        <v>13</v>
      </c>
      <c r="D6" t="s">
        <v>53</v>
      </c>
      <c r="E6" s="1" t="s">
        <v>54</v>
      </c>
      <c r="F6" s="1" t="s">
        <v>55</v>
      </c>
      <c r="G6" s="1" t="s">
        <v>56</v>
      </c>
      <c r="H6" s="1" t="s">
        <v>72</v>
      </c>
      <c r="I6" s="1" t="s">
        <v>58</v>
      </c>
      <c r="J6" s="1" t="s">
        <v>59</v>
      </c>
      <c r="K6" s="1" t="s">
        <v>60</v>
      </c>
      <c r="L6" s="1"/>
      <c r="M6" s="11" t="str">
        <f>IF($L6="","",SUMIF(#REF!,$L6,#REF!))</f>
        <v/>
      </c>
      <c r="N6" s="11"/>
      <c r="O6" s="11" t="str">
        <f>IF($L6="","",SUMIF(#REF!,$L6,#REF!))</f>
        <v/>
      </c>
      <c r="P6" s="12" t="str">
        <f>IF($L6="","",SUMIF(#REF!,$L6,#REF!))</f>
        <v/>
      </c>
      <c r="Q6" s="12"/>
      <c r="R6" s="12" t="str">
        <f>IF($L6="","",SUMIF(#REF!,$L6,#REF!))</f>
        <v/>
      </c>
      <c r="S6" s="11" t="str">
        <f>IF($L6="","",SUMIF(#REF!,$L6,#REF!))</f>
        <v/>
      </c>
      <c r="T6" s="11"/>
      <c r="U6" s="11" t="str">
        <f>IF($L6="","",SUMIF(#REF!,$L6,#REF!))</f>
        <v/>
      </c>
      <c r="V6" s="12" t="str">
        <f>IF($L6="","",SUMIF(#REF!,$L6,#REF!))</f>
        <v/>
      </c>
      <c r="W6" s="12"/>
      <c r="X6" s="12" t="str">
        <f>IF($L6="","",SUMIF(#REF!,$L6,#REF!))</f>
        <v/>
      </c>
      <c r="Y6" s="11" t="str">
        <f>IF($L6="","",SUMIF(#REF!,$L6,#REF!))</f>
        <v/>
      </c>
      <c r="Z6" s="11"/>
      <c r="AA6" s="11" t="str">
        <f>IF($L6="","",SUMIF(#REF!,$L6,#REF!))</f>
        <v/>
      </c>
      <c r="AB6" s="12" t="str">
        <f>IF($L6="","",SUMIF(#REF!,$L6,#REF!))</f>
        <v/>
      </c>
      <c r="AC6" s="12"/>
      <c r="AD6" s="12" t="str">
        <f>IF($L6="","",SUMIF(#REF!,$L6,#REF!))</f>
        <v/>
      </c>
      <c r="AE6" s="11" t="str">
        <f>IF($L6="","",SUMIF(#REF!,$L6,#REF!))</f>
        <v/>
      </c>
      <c r="AF6" s="11"/>
      <c r="AG6" s="11" t="str">
        <f>IF($L6="","",SUMIF(#REF!,$L6,#REF!))</f>
        <v/>
      </c>
    </row>
    <row r="7" spans="1:34">
      <c r="A7" s="1" t="s">
        <v>73</v>
      </c>
      <c r="B7" s="1" t="s">
        <v>74</v>
      </c>
      <c r="C7" s="1" t="s">
        <v>13</v>
      </c>
      <c r="D7" t="s">
        <v>53</v>
      </c>
      <c r="E7" s="1" t="s">
        <v>54</v>
      </c>
      <c r="F7" s="1" t="s">
        <v>55</v>
      </c>
      <c r="G7" s="1" t="s">
        <v>56</v>
      </c>
      <c r="H7" s="1" t="s">
        <v>75</v>
      </c>
      <c r="I7" s="1" t="s">
        <v>58</v>
      </c>
      <c r="J7" s="1" t="s">
        <v>76</v>
      </c>
      <c r="K7" s="1" t="s">
        <v>60</v>
      </c>
      <c r="L7" s="1" t="s">
        <v>77</v>
      </c>
      <c r="M7" s="11" t="e">
        <f>IF($L7="","",SUMIF(#REF!,$L7,#REF!))</f>
        <v>#REF!</v>
      </c>
      <c r="N7" s="11"/>
      <c r="O7" s="11" t="e">
        <f>IF($L7="","",SUMIF(#REF!,$L7,#REF!))</f>
        <v>#REF!</v>
      </c>
      <c r="P7" s="12" t="e">
        <f>IF($L7="","",SUMIF(#REF!,$L7,#REF!))</f>
        <v>#REF!</v>
      </c>
      <c r="Q7" s="12"/>
      <c r="R7" s="12" t="e">
        <f>IF($L7="","",SUMIF(#REF!,$L7,#REF!))</f>
        <v>#REF!</v>
      </c>
      <c r="S7" s="11" t="e">
        <f>IF($L7="","",SUMIF(#REF!,$L7,#REF!))</f>
        <v>#REF!</v>
      </c>
      <c r="T7" s="11"/>
      <c r="U7" s="11" t="e">
        <f>IF($L7="","",SUMIF(#REF!,$L7,#REF!))</f>
        <v>#REF!</v>
      </c>
      <c r="V7" s="12" t="e">
        <f>IF($L7="","",SUMIF(#REF!,$L7,#REF!))</f>
        <v>#REF!</v>
      </c>
      <c r="W7" s="12"/>
      <c r="X7" s="12" t="e">
        <f>IF($L7="","",SUMIF(#REF!,$L7,#REF!))</f>
        <v>#REF!</v>
      </c>
      <c r="Y7" s="11" t="e">
        <f>IF($L7="","",SUMIF(#REF!,$L7,#REF!))</f>
        <v>#REF!</v>
      </c>
      <c r="Z7" s="11"/>
      <c r="AA7" s="11" t="e">
        <f>IF($L7="","",SUMIF(#REF!,$L7,#REF!))</f>
        <v>#REF!</v>
      </c>
      <c r="AB7" s="12" t="e">
        <f>IF($L7="","",SUMIF(#REF!,$L7,#REF!))</f>
        <v>#REF!</v>
      </c>
      <c r="AC7" s="12"/>
      <c r="AD7" s="12" t="e">
        <f>IF($L7="","",SUMIF(#REF!,$L7,#REF!))</f>
        <v>#REF!</v>
      </c>
      <c r="AE7" s="11" t="e">
        <f>IF($L7="","",SUMIF(#REF!,$L7,#REF!))</f>
        <v>#REF!</v>
      </c>
      <c r="AF7" s="11"/>
      <c r="AG7" s="11" t="e">
        <f>IF($L7="","",SUMIF(#REF!,$L7,#REF!))</f>
        <v>#REF!</v>
      </c>
    </row>
    <row r="8" spans="1:34">
      <c r="A8" s="1" t="s">
        <v>78</v>
      </c>
      <c r="B8" s="1" t="s">
        <v>79</v>
      </c>
      <c r="C8" s="1" t="s">
        <v>14</v>
      </c>
      <c r="D8" t="str" cm="1">
        <f t="array" ref="D8">IFERROR(_xlfn.TEXTJOIN(", ",TRUE,_xlfn.UNIQUE(_xlfn._xlws.FILTER(#REF!,(#REF!="Final")*(COUNTIFS('[1]Demand Capacity'!$B:$B,$A8,'[1]Demand Capacity'!$A:$A,#REF!)&gt;0),""))),"")</f>
        <v/>
      </c>
      <c r="E8" s="1" t="s">
        <v>66</v>
      </c>
      <c r="F8" s="1" t="s">
        <v>55</v>
      </c>
      <c r="G8" s="1" t="s">
        <v>56</v>
      </c>
      <c r="H8" s="1" t="s">
        <v>80</v>
      </c>
      <c r="I8" s="1" t="s">
        <v>81</v>
      </c>
      <c r="J8" s="1" t="s">
        <v>76</v>
      </c>
      <c r="K8" s="1" t="s">
        <v>82</v>
      </c>
      <c r="L8" s="1" t="s">
        <v>83</v>
      </c>
      <c r="M8" s="11" t="e">
        <f>IF($L8="","",SUMIF(#REF!,$L8,#REF!))</f>
        <v>#REF!</v>
      </c>
      <c r="N8" s="11"/>
      <c r="O8" s="11" t="e">
        <f>IF($L8="","",SUMIF(#REF!,$L8,#REF!))</f>
        <v>#REF!</v>
      </c>
      <c r="P8" s="12" t="e">
        <f>IF($L8="","",SUMIF(#REF!,$L8,#REF!))</f>
        <v>#REF!</v>
      </c>
      <c r="Q8" s="12"/>
      <c r="R8" s="12" t="e">
        <f>IF($L8="","",SUMIF(#REF!,$L8,#REF!))</f>
        <v>#REF!</v>
      </c>
      <c r="S8" s="11" t="e">
        <f>IF($L8="","",SUMIF(#REF!,$L8,#REF!))</f>
        <v>#REF!</v>
      </c>
      <c r="T8" s="11"/>
      <c r="U8" s="11" t="e">
        <f>IF($L8="","",SUMIF(#REF!,$L8,#REF!))</f>
        <v>#REF!</v>
      </c>
      <c r="V8" s="12" t="e">
        <f>IF($L8="","",SUMIF(#REF!,$L8,#REF!))</f>
        <v>#REF!</v>
      </c>
      <c r="W8" s="12"/>
      <c r="X8" s="12" t="e">
        <f>IF($L8="","",SUMIF(#REF!,$L8,#REF!))</f>
        <v>#REF!</v>
      </c>
      <c r="Y8" s="11" t="e">
        <f>IF($L8="","",SUMIF(#REF!,$L8,#REF!))</f>
        <v>#REF!</v>
      </c>
      <c r="Z8" s="11"/>
      <c r="AA8" s="11" t="e">
        <f>IF($L8="","",SUMIF(#REF!,$L8,#REF!))</f>
        <v>#REF!</v>
      </c>
      <c r="AB8" s="12" t="e">
        <f>IF($L8="","",SUMIF(#REF!,$L8,#REF!))</f>
        <v>#REF!</v>
      </c>
      <c r="AC8" s="12"/>
      <c r="AD8" s="12" t="e">
        <f>IF($L8="","",SUMIF(#REF!,$L8,#REF!))</f>
        <v>#REF!</v>
      </c>
      <c r="AE8" s="11" t="e">
        <f>IF($L8="","",SUMIF(#REF!,$L8,#REF!))</f>
        <v>#REF!</v>
      </c>
      <c r="AF8" s="11"/>
      <c r="AG8" s="11" t="e">
        <f>IF($L8="","",SUMIF(#REF!,$L8,#REF!))</f>
        <v>#REF!</v>
      </c>
    </row>
    <row r="9" spans="1:34">
      <c r="A9" s="1" t="s">
        <v>84</v>
      </c>
      <c r="B9" s="1" t="s">
        <v>79</v>
      </c>
      <c r="C9" s="1" t="s">
        <v>14</v>
      </c>
      <c r="D9" t="str" cm="1">
        <f t="array" ref="D9">IFERROR(_xlfn.TEXTJOIN(", ",TRUE,_xlfn.UNIQUE(_xlfn._xlws.FILTER(#REF!,(#REF!="Final")*(COUNTIFS('[1]Demand Capacity'!$B:$B,$A9,'[1]Demand Capacity'!$A:$A,#REF!)&gt;0),""))),"")</f>
        <v/>
      </c>
      <c r="E9" s="1" t="s">
        <v>66</v>
      </c>
      <c r="F9" s="1" t="s">
        <v>55</v>
      </c>
      <c r="G9" s="1" t="s">
        <v>56</v>
      </c>
      <c r="H9" s="1" t="s">
        <v>85</v>
      </c>
      <c r="I9" s="1" t="s">
        <v>81</v>
      </c>
      <c r="J9" s="1" t="s">
        <v>76</v>
      </c>
      <c r="K9" s="1" t="s">
        <v>86</v>
      </c>
      <c r="L9" s="1" t="s">
        <v>87</v>
      </c>
      <c r="M9" s="11" t="e">
        <f>IF($L9="","",SUMIF(#REF!,$L9,#REF!))</f>
        <v>#REF!</v>
      </c>
      <c r="N9" s="11"/>
      <c r="O9" s="11" t="e">
        <f>IF($L9="","",SUMIF(#REF!,$L9,#REF!))</f>
        <v>#REF!</v>
      </c>
      <c r="P9" s="12" t="e">
        <f>IF($L9="","",SUMIF(#REF!,$L9,#REF!))</f>
        <v>#REF!</v>
      </c>
      <c r="Q9" s="12"/>
      <c r="R9" s="12" t="e">
        <f>IF($L9="","",SUMIF(#REF!,$L9,#REF!))</f>
        <v>#REF!</v>
      </c>
      <c r="S9" s="11" t="e">
        <f>IF($L9="","",SUMIF(#REF!,$L9,#REF!))</f>
        <v>#REF!</v>
      </c>
      <c r="T9" s="11"/>
      <c r="U9" s="11" t="e">
        <f>IF($L9="","",SUMIF(#REF!,$L9,#REF!))</f>
        <v>#REF!</v>
      </c>
      <c r="V9" s="12" t="e">
        <f>IF($L9="","",SUMIF(#REF!,$L9,#REF!))</f>
        <v>#REF!</v>
      </c>
      <c r="W9" s="12"/>
      <c r="X9" s="12" t="e">
        <f>IF($L9="","",SUMIF(#REF!,$L9,#REF!))</f>
        <v>#REF!</v>
      </c>
      <c r="Y9" s="11" t="e">
        <f>IF($L9="","",SUMIF(#REF!,$L9,#REF!))</f>
        <v>#REF!</v>
      </c>
      <c r="Z9" s="11"/>
      <c r="AA9" s="11" t="e">
        <f>IF($L9="","",SUMIF(#REF!,$L9,#REF!))</f>
        <v>#REF!</v>
      </c>
      <c r="AB9" s="12" t="e">
        <f>IF($L9="","",SUMIF(#REF!,$L9,#REF!))</f>
        <v>#REF!</v>
      </c>
      <c r="AC9" s="12"/>
      <c r="AD9" s="12" t="e">
        <f>IF($L9="","",SUMIF(#REF!,$L9,#REF!))</f>
        <v>#REF!</v>
      </c>
      <c r="AE9" s="11" t="e">
        <f>IF($L9="","",SUMIF(#REF!,$L9,#REF!))</f>
        <v>#REF!</v>
      </c>
      <c r="AF9" s="11"/>
      <c r="AG9" s="11" t="e">
        <f>IF($L9="","",SUMIF(#REF!,$L9,#REF!))</f>
        <v>#REF!</v>
      </c>
    </row>
    <row r="10" spans="1:34">
      <c r="A10" s="1" t="s">
        <v>88</v>
      </c>
      <c r="B10" s="1" t="s">
        <v>79</v>
      </c>
      <c r="C10" s="1" t="s">
        <v>14</v>
      </c>
      <c r="D10" t="str" cm="1">
        <f t="array" ref="D10">IFERROR(_xlfn.TEXTJOIN(", ",TRUE,_xlfn.UNIQUE(_xlfn._xlws.FILTER(#REF!,(#REF!="Final")*(COUNTIFS('[1]Demand Capacity'!$B:$B,$A10,'[1]Demand Capacity'!$A:$A,#REF!)&gt;0),""))),"")</f>
        <v/>
      </c>
      <c r="E10" s="1" t="s">
        <v>62</v>
      </c>
      <c r="F10" s="1" t="s">
        <v>89</v>
      </c>
      <c r="G10" s="1" t="s">
        <v>90</v>
      </c>
      <c r="H10" s="1"/>
      <c r="I10" s="1" t="s">
        <v>81</v>
      </c>
      <c r="J10" s="1" t="s">
        <v>76</v>
      </c>
      <c r="K10" s="1" t="s">
        <v>86</v>
      </c>
      <c r="L10" s="1" t="s">
        <v>91</v>
      </c>
      <c r="M10" s="11" t="e">
        <f>IF($L10="","",SUMIF(#REF!,$L10,#REF!))</f>
        <v>#REF!</v>
      </c>
      <c r="N10" s="11"/>
      <c r="O10" s="11" t="e">
        <f>IF($L10="","",SUMIF(#REF!,$L10,#REF!))</f>
        <v>#REF!</v>
      </c>
      <c r="P10" s="12" t="e">
        <f>IF($L10="","",SUMIF(#REF!,$L10,#REF!))</f>
        <v>#REF!</v>
      </c>
      <c r="Q10" s="12"/>
      <c r="R10" s="12" t="e">
        <f>IF($L10="","",SUMIF(#REF!,$L10,#REF!))</f>
        <v>#REF!</v>
      </c>
      <c r="S10" s="11" t="e">
        <f>IF($L10="","",SUMIF(#REF!,$L10,#REF!))</f>
        <v>#REF!</v>
      </c>
      <c r="T10" s="11"/>
      <c r="U10" s="11" t="e">
        <f>IF($L10="","",SUMIF(#REF!,$L10,#REF!))</f>
        <v>#REF!</v>
      </c>
      <c r="V10" s="12" t="e">
        <f>IF($L10="","",SUMIF(#REF!,$L10,#REF!))</f>
        <v>#REF!</v>
      </c>
      <c r="W10" s="12"/>
      <c r="X10" s="12" t="e">
        <f>IF($L10="","",SUMIF(#REF!,$L10,#REF!))</f>
        <v>#REF!</v>
      </c>
      <c r="Y10" s="11" t="e">
        <f>IF($L10="","",SUMIF(#REF!,$L10,#REF!))</f>
        <v>#REF!</v>
      </c>
      <c r="Z10" s="11"/>
      <c r="AA10" s="11" t="e">
        <f>IF($L10="","",SUMIF(#REF!,$L10,#REF!))</f>
        <v>#REF!</v>
      </c>
      <c r="AB10" s="12" t="e">
        <f>IF($L10="","",SUMIF(#REF!,$L10,#REF!))</f>
        <v>#REF!</v>
      </c>
      <c r="AC10" s="12"/>
      <c r="AD10" s="12" t="e">
        <f>IF($L10="","",SUMIF(#REF!,$L10,#REF!))</f>
        <v>#REF!</v>
      </c>
      <c r="AE10" s="11" t="e">
        <f>IF($L10="","",SUMIF(#REF!,$L10,#REF!))</f>
        <v>#REF!</v>
      </c>
      <c r="AF10" s="11"/>
      <c r="AG10" s="11" t="e">
        <f>IF($L10="","",SUMIF(#REF!,$L10,#REF!))</f>
        <v>#REF!</v>
      </c>
    </row>
    <row r="11" spans="1:34">
      <c r="A11" s="1" t="s">
        <v>92</v>
      </c>
      <c r="B11" s="1" t="s">
        <v>93</v>
      </c>
      <c r="C11" s="1" t="s">
        <v>14</v>
      </c>
      <c r="D11" t="str" cm="1">
        <f t="array" ref="D11">IFERROR(_xlfn.TEXTJOIN(", ",TRUE,_xlfn.UNIQUE(_xlfn._xlws.FILTER(#REF!,(#REF!="Final")*(COUNTIFS('[1]Demand Capacity'!$B:$B,$A11,'[1]Demand Capacity'!$A:$A,#REF!)&gt;0),""))),"")</f>
        <v/>
      </c>
      <c r="E11" s="1" t="s">
        <v>62</v>
      </c>
      <c r="F11" s="1" t="s">
        <v>89</v>
      </c>
      <c r="G11" s="1" t="s">
        <v>90</v>
      </c>
      <c r="H11" s="1"/>
      <c r="I11" s="1" t="s">
        <v>94</v>
      </c>
      <c r="J11" s="1" t="s">
        <v>76</v>
      </c>
      <c r="K11" s="1" t="s">
        <v>86</v>
      </c>
      <c r="L11" s="1" t="s">
        <v>95</v>
      </c>
      <c r="M11" s="11" t="e">
        <f>IF($L11="","",SUMIF(#REF!,$L11,#REF!))</f>
        <v>#REF!</v>
      </c>
      <c r="N11" s="11"/>
      <c r="O11" s="11" t="e">
        <f>IF($L11="","",SUMIF(#REF!,$L11,#REF!))</f>
        <v>#REF!</v>
      </c>
      <c r="P11" s="12" t="e">
        <f>IF($L11="","",SUMIF(#REF!,$L11,#REF!))</f>
        <v>#REF!</v>
      </c>
      <c r="Q11" s="12"/>
      <c r="R11" s="12" t="e">
        <f>IF($L11="","",SUMIF(#REF!,$L11,#REF!))</f>
        <v>#REF!</v>
      </c>
      <c r="S11" s="11" t="e">
        <f>IF($L11="","",SUMIF(#REF!,$L11,#REF!))</f>
        <v>#REF!</v>
      </c>
      <c r="T11" s="11"/>
      <c r="U11" s="11" t="e">
        <f>IF($L11="","",SUMIF(#REF!,$L11,#REF!))</f>
        <v>#REF!</v>
      </c>
      <c r="V11" s="12" t="e">
        <f>IF($L11="","",SUMIF(#REF!,$L11,#REF!))</f>
        <v>#REF!</v>
      </c>
      <c r="W11" s="12"/>
      <c r="X11" s="12" t="e">
        <f>IF($L11="","",SUMIF(#REF!,$L11,#REF!))</f>
        <v>#REF!</v>
      </c>
      <c r="Y11" s="11" t="e">
        <f>IF($L11="","",SUMIF(#REF!,$L11,#REF!))</f>
        <v>#REF!</v>
      </c>
      <c r="Z11" s="11"/>
      <c r="AA11" s="11" t="e">
        <f>IF($L11="","",SUMIF(#REF!,$L11,#REF!))</f>
        <v>#REF!</v>
      </c>
      <c r="AB11" s="12" t="e">
        <f>IF($L11="","",SUMIF(#REF!,$L11,#REF!))</f>
        <v>#REF!</v>
      </c>
      <c r="AC11" s="12"/>
      <c r="AD11" s="12" t="e">
        <f>IF($L11="","",SUMIF(#REF!,$L11,#REF!))</f>
        <v>#REF!</v>
      </c>
      <c r="AE11" s="11" t="e">
        <f>IF($L11="","",SUMIF(#REF!,$L11,#REF!))</f>
        <v>#REF!</v>
      </c>
      <c r="AF11" s="11"/>
      <c r="AG11" s="11" t="e">
        <f>IF($L11="","",SUMIF(#REF!,$L11,#REF!))</f>
        <v>#REF!</v>
      </c>
    </row>
    <row r="12" spans="1:34">
      <c r="A12" s="1" t="s">
        <v>96</v>
      </c>
      <c r="B12" s="1" t="s">
        <v>97</v>
      </c>
      <c r="C12" s="1" t="s">
        <v>14</v>
      </c>
      <c r="D12" t="str" cm="1">
        <f t="array" ref="D12">IFERROR(_xlfn.TEXTJOIN(", ",TRUE,_xlfn.UNIQUE(_xlfn._xlws.FILTER(#REF!,(#REF!="Final")*(COUNTIFS('[1]Demand Capacity'!$B:$B,$A12,'[1]Demand Capacity'!$A:$A,#REF!)&gt;0),""))),"")</f>
        <v/>
      </c>
      <c r="E12" s="1" t="s">
        <v>62</v>
      </c>
      <c r="F12" s="1" t="s">
        <v>89</v>
      </c>
      <c r="G12" s="1" t="s">
        <v>90</v>
      </c>
      <c r="H12" s="1"/>
      <c r="I12" s="1" t="s">
        <v>81</v>
      </c>
      <c r="J12" s="1" t="s">
        <v>76</v>
      </c>
      <c r="K12" s="1" t="s">
        <v>82</v>
      </c>
      <c r="L12" s="1" t="s">
        <v>98</v>
      </c>
      <c r="M12" s="11" t="e">
        <f>IF($L12="","",SUMIF(#REF!,$L12,#REF!))</f>
        <v>#REF!</v>
      </c>
      <c r="N12" s="11"/>
      <c r="O12" s="11" t="e">
        <f>IF($L12="","",SUMIF(#REF!,$L12,#REF!))</f>
        <v>#REF!</v>
      </c>
      <c r="P12" s="12" t="e">
        <f>IF($L12="","",SUMIF(#REF!,$L12,#REF!))</f>
        <v>#REF!</v>
      </c>
      <c r="Q12" s="12"/>
      <c r="R12" s="12" t="e">
        <f>IF($L12="","",SUMIF(#REF!,$L12,#REF!))</f>
        <v>#REF!</v>
      </c>
      <c r="S12" s="11" t="e">
        <f>IF($L12="","",SUMIF(#REF!,$L12,#REF!))</f>
        <v>#REF!</v>
      </c>
      <c r="T12" s="11"/>
      <c r="U12" s="11" t="e">
        <f>IF($L12="","",SUMIF(#REF!,$L12,#REF!))</f>
        <v>#REF!</v>
      </c>
      <c r="V12" s="12" t="e">
        <f>IF($L12="","",SUMIF(#REF!,$L12,#REF!))</f>
        <v>#REF!</v>
      </c>
      <c r="W12" s="12"/>
      <c r="X12" s="12" t="e">
        <f>IF($L12="","",SUMIF(#REF!,$L12,#REF!))</f>
        <v>#REF!</v>
      </c>
      <c r="Y12" s="11" t="e">
        <f>IF($L12="","",SUMIF(#REF!,$L12,#REF!))</f>
        <v>#REF!</v>
      </c>
      <c r="Z12" s="11"/>
      <c r="AA12" s="11" t="e">
        <f>IF($L12="","",SUMIF(#REF!,$L12,#REF!))</f>
        <v>#REF!</v>
      </c>
      <c r="AB12" s="12" t="e">
        <f>IF($L12="","",SUMIF(#REF!,$L12,#REF!))</f>
        <v>#REF!</v>
      </c>
      <c r="AC12" s="12"/>
      <c r="AD12" s="12" t="e">
        <f>IF($L12="","",SUMIF(#REF!,$L12,#REF!))</f>
        <v>#REF!</v>
      </c>
      <c r="AE12" s="11" t="e">
        <f>IF($L12="","",SUMIF(#REF!,$L12,#REF!))</f>
        <v>#REF!</v>
      </c>
      <c r="AF12" s="11"/>
      <c r="AG12" s="11" t="e">
        <f>IF($L12="","",SUMIF(#REF!,$L12,#REF!))</f>
        <v>#REF!</v>
      </c>
    </row>
    <row r="13" spans="1:34">
      <c r="A13" s="1" t="s">
        <v>99</v>
      </c>
      <c r="B13" s="1" t="s">
        <v>100</v>
      </c>
      <c r="C13" s="1" t="s">
        <v>15</v>
      </c>
      <c r="D13" t="str" cm="1">
        <f t="array" ref="D13">IFERROR(_xlfn.TEXTJOIN(", ",TRUE,_xlfn.UNIQUE(_xlfn._xlws.FILTER(#REF!,(#REF!="Final")*(COUNTIFS('[1]Demand Capacity'!$B:$B,$A13,'[1]Demand Capacity'!$A:$A,#REF!)&gt;0),""))),"")</f>
        <v/>
      </c>
      <c r="E13" s="1" t="s">
        <v>73</v>
      </c>
      <c r="F13" s="1" t="s">
        <v>55</v>
      </c>
      <c r="G13" s="1" t="s">
        <v>56</v>
      </c>
      <c r="H13" s="1" t="s">
        <v>75</v>
      </c>
      <c r="I13" s="1" t="s">
        <v>101</v>
      </c>
      <c r="J13" s="1" t="s">
        <v>76</v>
      </c>
      <c r="K13" s="1" t="s">
        <v>86</v>
      </c>
      <c r="L13" s="1" t="s">
        <v>102</v>
      </c>
      <c r="M13" s="11" t="e">
        <f>IF($L13="","",SUMIF(#REF!,$L13,#REF!))</f>
        <v>#REF!</v>
      </c>
      <c r="N13" s="11"/>
      <c r="O13" s="11" t="e">
        <f>IF($L13="","",SUMIF(#REF!,$L13,#REF!))</f>
        <v>#REF!</v>
      </c>
      <c r="P13" s="12" t="e">
        <f>IF($L13="","",SUMIF(#REF!,$L13,#REF!))</f>
        <v>#REF!</v>
      </c>
      <c r="Q13" s="12"/>
      <c r="R13" s="12" t="e">
        <f>IF($L13="","",SUMIF(#REF!,$L13,#REF!))</f>
        <v>#REF!</v>
      </c>
      <c r="S13" s="11" t="e">
        <f>IF($L13="","",SUMIF(#REF!,$L13,#REF!))</f>
        <v>#REF!</v>
      </c>
      <c r="T13" s="11"/>
      <c r="U13" s="11" t="e">
        <f>IF($L13="","",SUMIF(#REF!,$L13,#REF!))</f>
        <v>#REF!</v>
      </c>
      <c r="V13" s="12" t="e">
        <f>IF($L13="","",SUMIF(#REF!,$L13,#REF!))</f>
        <v>#REF!</v>
      </c>
      <c r="W13" s="12"/>
      <c r="X13" s="12" t="e">
        <f>IF($L13="","",SUMIF(#REF!,$L13,#REF!))</f>
        <v>#REF!</v>
      </c>
      <c r="Y13" s="11" t="e">
        <f>IF($L13="","",SUMIF(#REF!,$L13,#REF!))</f>
        <v>#REF!</v>
      </c>
      <c r="Z13" s="11"/>
      <c r="AA13" s="11" t="e">
        <f>IF($L13="","",SUMIF(#REF!,$L13,#REF!))</f>
        <v>#REF!</v>
      </c>
      <c r="AB13" s="12" t="e">
        <f>IF($L13="","",SUMIF(#REF!,$L13,#REF!))</f>
        <v>#REF!</v>
      </c>
      <c r="AC13" s="12"/>
      <c r="AD13" s="12" t="e">
        <f>IF($L13="","",SUMIF(#REF!,$L13,#REF!))</f>
        <v>#REF!</v>
      </c>
      <c r="AE13" s="11" t="e">
        <f>IF($L13="","",SUMIF(#REF!,$L13,#REF!))</f>
        <v>#REF!</v>
      </c>
      <c r="AF13" s="11"/>
      <c r="AG13" s="11" t="e">
        <f>IF($L13="","",SUMIF(#REF!,$L13,#REF!))</f>
        <v>#REF!</v>
      </c>
    </row>
    <row r="14" spans="1:34">
      <c r="A14" s="1" t="s">
        <v>103</v>
      </c>
      <c r="B14" s="1" t="s">
        <v>104</v>
      </c>
      <c r="C14" s="1" t="s">
        <v>15</v>
      </c>
      <c r="D14" t="str" cm="1">
        <f t="array" ref="D14">IFERROR(_xlfn.TEXTJOIN(", ",TRUE,_xlfn.UNIQUE(_xlfn._xlws.FILTER(#REF!,(#REF!="Final")*(COUNTIFS('[1]Demand Capacity'!$B:$B,$A14,'[1]Demand Capacity'!$A:$A,#REF!)&gt;0),""))),"")</f>
        <v/>
      </c>
      <c r="E14" s="1" t="s">
        <v>73</v>
      </c>
      <c r="F14" s="1" t="s">
        <v>89</v>
      </c>
      <c r="G14" s="1" t="s">
        <v>56</v>
      </c>
      <c r="H14" s="1" t="s">
        <v>105</v>
      </c>
      <c r="I14" s="1" t="s">
        <v>101</v>
      </c>
      <c r="J14" s="1" t="s">
        <v>76</v>
      </c>
      <c r="K14" s="1" t="s">
        <v>106</v>
      </c>
      <c r="L14" s="1" t="s">
        <v>107</v>
      </c>
      <c r="M14" s="11" t="e">
        <f>IF($L14="","",SUMIF(#REF!,$L14,#REF!))</f>
        <v>#REF!</v>
      </c>
      <c r="N14" s="11"/>
      <c r="O14" s="11" t="e">
        <f>IF($L14="","",SUMIF(#REF!,$L14,#REF!))</f>
        <v>#REF!</v>
      </c>
      <c r="P14" s="12" t="e">
        <f>IF($L14="","",SUMIF(#REF!,$L14,#REF!))</f>
        <v>#REF!</v>
      </c>
      <c r="Q14" s="12"/>
      <c r="R14" s="12" t="e">
        <f>IF($L14="","",SUMIF(#REF!,$L14,#REF!))</f>
        <v>#REF!</v>
      </c>
      <c r="S14" s="11" t="e">
        <f>IF($L14="","",SUMIF(#REF!,$L14,#REF!))</f>
        <v>#REF!</v>
      </c>
      <c r="T14" s="11"/>
      <c r="U14" s="11" t="e">
        <f>IF($L14="","",SUMIF(#REF!,$L14,#REF!))</f>
        <v>#REF!</v>
      </c>
      <c r="V14" s="12" t="e">
        <f>IF($L14="","",SUMIF(#REF!,$L14,#REF!))</f>
        <v>#REF!</v>
      </c>
      <c r="W14" s="12"/>
      <c r="X14" s="12" t="e">
        <f>IF($L14="","",SUMIF(#REF!,$L14,#REF!))</f>
        <v>#REF!</v>
      </c>
      <c r="Y14" s="11" t="e">
        <f>IF($L14="","",SUMIF(#REF!,$L14,#REF!))</f>
        <v>#REF!</v>
      </c>
      <c r="Z14" s="11"/>
      <c r="AA14" s="11" t="e">
        <f>IF($L14="","",SUMIF(#REF!,$L14,#REF!))</f>
        <v>#REF!</v>
      </c>
      <c r="AB14" s="12" t="e">
        <f>IF($L14="","",SUMIF(#REF!,$L14,#REF!))</f>
        <v>#REF!</v>
      </c>
      <c r="AC14" s="12"/>
      <c r="AD14" s="12" t="e">
        <f>IF($L14="","",SUMIF(#REF!,$L14,#REF!))</f>
        <v>#REF!</v>
      </c>
      <c r="AE14" s="11" t="e">
        <f>IF($L14="","",SUMIF(#REF!,$L14,#REF!))</f>
        <v>#REF!</v>
      </c>
      <c r="AF14" s="11"/>
      <c r="AG14" s="11" t="e">
        <f>IF($L14="","",SUMIF(#REF!,$L14,#REF!))</f>
        <v>#REF!</v>
      </c>
    </row>
    <row r="15" spans="1:34">
      <c r="A15" s="1" t="s">
        <v>108</v>
      </c>
      <c r="B15" s="1" t="s">
        <v>104</v>
      </c>
      <c r="C15" s="1" t="s">
        <v>15</v>
      </c>
      <c r="D15" t="str" cm="1">
        <f t="array" ref="D15">IFERROR(_xlfn.TEXTJOIN(", ",TRUE,_xlfn.UNIQUE(_xlfn._xlws.FILTER(#REF!,(#REF!="Final")*(COUNTIFS('[1]Demand Capacity'!$B:$B,$A15,'[1]Demand Capacity'!$A:$A,#REF!)&gt;0),""))),"")</f>
        <v/>
      </c>
      <c r="E15" s="1" t="s">
        <v>73</v>
      </c>
      <c r="F15" s="1" t="s">
        <v>55</v>
      </c>
      <c r="G15" s="1" t="s">
        <v>56</v>
      </c>
      <c r="H15" s="1" t="s">
        <v>109</v>
      </c>
      <c r="I15" s="1" t="s">
        <v>101</v>
      </c>
      <c r="J15" s="1" t="s">
        <v>76</v>
      </c>
      <c r="K15" s="1" t="s">
        <v>106</v>
      </c>
      <c r="L15" s="1" t="s">
        <v>110</v>
      </c>
      <c r="M15" s="11" t="e">
        <f>IF($L15="","",SUMIF(#REF!,$L15,#REF!))</f>
        <v>#REF!</v>
      </c>
      <c r="N15" s="11"/>
      <c r="O15" s="11" t="e">
        <f>IF($L15="","",SUMIF(#REF!,$L15,#REF!))</f>
        <v>#REF!</v>
      </c>
      <c r="P15" s="12" t="e">
        <f>IF($L15="","",SUMIF(#REF!,$L15,#REF!))</f>
        <v>#REF!</v>
      </c>
      <c r="Q15" s="12"/>
      <c r="R15" s="12" t="e">
        <f>IF($L15="","",SUMIF(#REF!,$L15,#REF!))</f>
        <v>#REF!</v>
      </c>
      <c r="S15" s="11" t="e">
        <f>IF($L15="","",SUMIF(#REF!,$L15,#REF!))</f>
        <v>#REF!</v>
      </c>
      <c r="T15" s="11"/>
      <c r="U15" s="11" t="e">
        <f>IF($L15="","",SUMIF(#REF!,$L15,#REF!))</f>
        <v>#REF!</v>
      </c>
      <c r="V15" s="12" t="e">
        <f>IF($L15="","",SUMIF(#REF!,$L15,#REF!))</f>
        <v>#REF!</v>
      </c>
      <c r="W15" s="12"/>
      <c r="X15" s="12" t="e">
        <f>IF($L15="","",SUMIF(#REF!,$L15,#REF!))</f>
        <v>#REF!</v>
      </c>
      <c r="Y15" s="11" t="e">
        <f>IF($L15="","",SUMIF(#REF!,$L15,#REF!))</f>
        <v>#REF!</v>
      </c>
      <c r="Z15" s="11"/>
      <c r="AA15" s="11" t="e">
        <f>IF($L15="","",SUMIF(#REF!,$L15,#REF!))</f>
        <v>#REF!</v>
      </c>
      <c r="AB15" s="12" t="e">
        <f>IF($L15="","",SUMIF(#REF!,$L15,#REF!))</f>
        <v>#REF!</v>
      </c>
      <c r="AC15" s="12"/>
      <c r="AD15" s="12" t="e">
        <f>IF($L15="","",SUMIF(#REF!,$L15,#REF!))</f>
        <v>#REF!</v>
      </c>
      <c r="AE15" s="11" t="e">
        <f>IF($L15="","",SUMIF(#REF!,$L15,#REF!))</f>
        <v>#REF!</v>
      </c>
      <c r="AF15" s="11"/>
      <c r="AG15" s="11" t="e">
        <f>IF($L15="","",SUMIF(#REF!,$L15,#REF!))</f>
        <v>#REF!</v>
      </c>
    </row>
    <row r="16" spans="1:34">
      <c r="A16" s="1" t="s">
        <v>111</v>
      </c>
      <c r="B16" s="1" t="s">
        <v>112</v>
      </c>
      <c r="C16" s="1" t="s">
        <v>15</v>
      </c>
      <c r="D16" t="str" cm="1">
        <f t="array" ref="D16">IFERROR(_xlfn.TEXTJOIN(", ",TRUE,_xlfn.UNIQUE(_xlfn._xlws.FILTER(#REF!,(#REF!="Final")*(COUNTIFS('[1]Demand Capacity'!$B:$B,$A16,'[1]Demand Capacity'!$A:$A,#REF!)&gt;0),""))),"")</f>
        <v/>
      </c>
      <c r="E16" s="1" t="s">
        <v>73</v>
      </c>
      <c r="F16" s="1" t="s">
        <v>55</v>
      </c>
      <c r="G16" s="1" t="s">
        <v>56</v>
      </c>
      <c r="H16" s="1" t="s">
        <v>113</v>
      </c>
      <c r="I16" s="1" t="s">
        <v>114</v>
      </c>
      <c r="J16" s="1" t="s">
        <v>59</v>
      </c>
      <c r="K16" s="1" t="s">
        <v>106</v>
      </c>
      <c r="L16" s="1" t="s">
        <v>115</v>
      </c>
      <c r="M16" s="11" t="e">
        <f>IF($L16="","",SUMIF(#REF!,$L16,#REF!))</f>
        <v>#REF!</v>
      </c>
      <c r="N16" s="11"/>
      <c r="O16" s="11" t="e">
        <f>IF($L16="","",SUMIF(#REF!,$L16,#REF!))</f>
        <v>#REF!</v>
      </c>
      <c r="P16" s="12" t="e">
        <f>IF($L16="","",SUMIF(#REF!,$L16,#REF!))</f>
        <v>#REF!</v>
      </c>
      <c r="Q16" s="12"/>
      <c r="R16" s="12" t="e">
        <f>IF($L16="","",SUMIF(#REF!,$L16,#REF!))</f>
        <v>#REF!</v>
      </c>
      <c r="S16" s="11" t="e">
        <f>IF($L16="","",SUMIF(#REF!,$L16,#REF!))</f>
        <v>#REF!</v>
      </c>
      <c r="T16" s="11"/>
      <c r="U16" s="11" t="e">
        <f>IF($L16="","",SUMIF(#REF!,$L16,#REF!))</f>
        <v>#REF!</v>
      </c>
      <c r="V16" s="12" t="e">
        <f>IF($L16="","",SUMIF(#REF!,$L16,#REF!))</f>
        <v>#REF!</v>
      </c>
      <c r="W16" s="12"/>
      <c r="X16" s="12" t="e">
        <f>IF($L16="","",SUMIF(#REF!,$L16,#REF!))</f>
        <v>#REF!</v>
      </c>
      <c r="Y16" s="11" t="e">
        <f>IF($L16="","",SUMIF(#REF!,$L16,#REF!))</f>
        <v>#REF!</v>
      </c>
      <c r="Z16" s="11"/>
      <c r="AA16" s="11" t="e">
        <f>IF($L16="","",SUMIF(#REF!,$L16,#REF!))</f>
        <v>#REF!</v>
      </c>
      <c r="AB16" s="12" t="e">
        <f>IF($L16="","",SUMIF(#REF!,$L16,#REF!))</f>
        <v>#REF!</v>
      </c>
      <c r="AC16" s="12"/>
      <c r="AD16" s="12" t="e">
        <f>IF($L16="","",SUMIF(#REF!,$L16,#REF!))</f>
        <v>#REF!</v>
      </c>
      <c r="AE16" s="11" t="e">
        <f>IF($L16="","",SUMIF(#REF!,$L16,#REF!))</f>
        <v>#REF!</v>
      </c>
      <c r="AF16" s="11"/>
      <c r="AG16" s="11" t="e">
        <f>IF($L16="","",SUMIF(#REF!,$L16,#REF!))</f>
        <v>#REF!</v>
      </c>
    </row>
    <row r="17" spans="1:33">
      <c r="A17" s="1" t="s">
        <v>116</v>
      </c>
      <c r="B17" s="1" t="s">
        <v>117</v>
      </c>
      <c r="C17" s="1" t="s">
        <v>16</v>
      </c>
      <c r="D17" t="str" cm="1">
        <f t="array" ref="D17">IFERROR(_xlfn.TEXTJOIN(", ",TRUE,_xlfn.UNIQUE(_xlfn._xlws.FILTER(#REF!,(#REF!="Final")*(COUNTIFS('[1]Demand Capacity'!$B:$B,$A17,'[1]Demand Capacity'!$A:$A,#REF!)&gt;0),""))),"")</f>
        <v/>
      </c>
      <c r="E17" s="1" t="s">
        <v>51</v>
      </c>
      <c r="F17" s="1" t="s">
        <v>118</v>
      </c>
      <c r="G17" s="1" t="s">
        <v>119</v>
      </c>
      <c r="H17" s="1" t="s">
        <v>120</v>
      </c>
      <c r="I17" s="1" t="s">
        <v>81</v>
      </c>
      <c r="J17" s="1" t="s">
        <v>76</v>
      </c>
      <c r="K17" s="1" t="s">
        <v>121</v>
      </c>
      <c r="L17" s="1" t="s">
        <v>122</v>
      </c>
      <c r="M17" s="11" t="e">
        <f>IF($L17="","",SUMIF(#REF!,$L17,#REF!))</f>
        <v>#REF!</v>
      </c>
      <c r="N17" s="11"/>
      <c r="O17" s="11" t="e">
        <f>IF($L17="","",SUMIF(#REF!,$L17,#REF!))</f>
        <v>#REF!</v>
      </c>
      <c r="P17" s="12" t="e">
        <f>IF($L17="","",SUMIF(#REF!,$L17,#REF!))</f>
        <v>#REF!</v>
      </c>
      <c r="Q17" s="12"/>
      <c r="R17" s="12" t="e">
        <f>IF($L17="","",SUMIF(#REF!,$L17,#REF!))</f>
        <v>#REF!</v>
      </c>
      <c r="S17" s="11" t="e">
        <f>IF($L17="","",SUMIF(#REF!,$L17,#REF!))</f>
        <v>#REF!</v>
      </c>
      <c r="T17" s="11"/>
      <c r="U17" s="11" t="e">
        <f>IF($L17="","",SUMIF(#REF!,$L17,#REF!))</f>
        <v>#REF!</v>
      </c>
      <c r="V17" s="12" t="e">
        <f>IF($L17="","",SUMIF(#REF!,$L17,#REF!))</f>
        <v>#REF!</v>
      </c>
      <c r="W17" s="12"/>
      <c r="X17" s="12" t="e">
        <f>IF($L17="","",SUMIF(#REF!,$L17,#REF!))</f>
        <v>#REF!</v>
      </c>
      <c r="Y17" s="11" t="e">
        <f>IF($L17="","",SUMIF(#REF!,$L17,#REF!))</f>
        <v>#REF!</v>
      </c>
      <c r="Z17" s="11"/>
      <c r="AA17" s="11" t="e">
        <f>IF($L17="","",SUMIF(#REF!,$L17,#REF!))</f>
        <v>#REF!</v>
      </c>
      <c r="AB17" s="12" t="e">
        <f>IF($L17="","",SUMIF(#REF!,$L17,#REF!))</f>
        <v>#REF!</v>
      </c>
      <c r="AC17" s="12"/>
      <c r="AD17" s="12" t="e">
        <f>IF($L17="","",SUMIF(#REF!,$L17,#REF!))</f>
        <v>#REF!</v>
      </c>
      <c r="AE17" s="11" t="e">
        <f>IF($L17="","",SUMIF(#REF!,$L17,#REF!))</f>
        <v>#REF!</v>
      </c>
      <c r="AF17" s="11"/>
      <c r="AG17" s="11" t="e">
        <f>IF($L17="","",SUMIF(#REF!,$L17,#REF!))</f>
        <v>#REF!</v>
      </c>
    </row>
    <row r="18" spans="1:33">
      <c r="A18" s="1" t="s">
        <v>123</v>
      </c>
      <c r="B18" s="1" t="s">
        <v>124</v>
      </c>
      <c r="C18" s="1" t="s">
        <v>16</v>
      </c>
      <c r="D18" t="str" cm="1">
        <f t="array" ref="D18">IFERROR(_xlfn.TEXTJOIN(", ",TRUE,_xlfn.UNIQUE(_xlfn._xlws.FILTER(#REF!,(#REF!="Final")*(COUNTIFS('[1]Demand Capacity'!$B:$B,$A18,'[1]Demand Capacity'!$A:$A,#REF!)&gt;0),""))),"")</f>
        <v/>
      </c>
      <c r="E18" s="1" t="s">
        <v>51</v>
      </c>
      <c r="F18" s="1" t="s">
        <v>118</v>
      </c>
      <c r="G18" s="1" t="s">
        <v>56</v>
      </c>
      <c r="H18" s="1" t="s">
        <v>120</v>
      </c>
      <c r="I18" s="1" t="s">
        <v>81</v>
      </c>
      <c r="J18" s="1" t="s">
        <v>76</v>
      </c>
      <c r="K18" s="1" t="s">
        <v>86</v>
      </c>
      <c r="L18" s="1" t="s">
        <v>125</v>
      </c>
      <c r="M18" s="11" t="e">
        <f>IF($L18="","",SUMIF(#REF!,$L18,#REF!))</f>
        <v>#REF!</v>
      </c>
      <c r="N18" s="11"/>
      <c r="O18" s="11" t="e">
        <f>IF($L18="","",SUMIF(#REF!,$L18,#REF!))</f>
        <v>#REF!</v>
      </c>
      <c r="P18" s="12" t="e">
        <f>IF($L18="","",SUMIF(#REF!,$L18,#REF!))</f>
        <v>#REF!</v>
      </c>
      <c r="Q18" s="12"/>
      <c r="R18" s="12" t="e">
        <f>IF($L18="","",SUMIF(#REF!,$L18,#REF!))</f>
        <v>#REF!</v>
      </c>
      <c r="S18" s="11" t="e">
        <f>IF($L18="","",SUMIF(#REF!,$L18,#REF!))</f>
        <v>#REF!</v>
      </c>
      <c r="T18" s="11"/>
      <c r="U18" s="11" t="e">
        <f>IF($L18="","",SUMIF(#REF!,$L18,#REF!))</f>
        <v>#REF!</v>
      </c>
      <c r="V18" s="12" t="e">
        <f>IF($L18="","",SUMIF(#REF!,$L18,#REF!))</f>
        <v>#REF!</v>
      </c>
      <c r="W18" s="12"/>
      <c r="X18" s="12" t="e">
        <f>IF($L18="","",SUMIF(#REF!,$L18,#REF!))</f>
        <v>#REF!</v>
      </c>
      <c r="Y18" s="11" t="e">
        <f>IF($L18="","",SUMIF(#REF!,$L18,#REF!))</f>
        <v>#REF!</v>
      </c>
      <c r="Z18" s="11"/>
      <c r="AA18" s="11" t="e">
        <f>IF($L18="","",SUMIF(#REF!,$L18,#REF!))</f>
        <v>#REF!</v>
      </c>
      <c r="AB18" s="12" t="e">
        <f>IF($L18="","",SUMIF(#REF!,$L18,#REF!))</f>
        <v>#REF!</v>
      </c>
      <c r="AC18" s="12"/>
      <c r="AD18" s="12" t="e">
        <f>IF($L18="","",SUMIF(#REF!,$L18,#REF!))</f>
        <v>#REF!</v>
      </c>
      <c r="AE18" s="11" t="e">
        <f>IF($L18="","",SUMIF(#REF!,$L18,#REF!))</f>
        <v>#REF!</v>
      </c>
      <c r="AF18" s="11"/>
      <c r="AG18" s="11" t="e">
        <f>IF($L18="","",SUMIF(#REF!,$L18,#REF!))</f>
        <v>#REF!</v>
      </c>
    </row>
    <row r="19" spans="1:33">
      <c r="A19" s="1" t="s">
        <v>126</v>
      </c>
      <c r="B19" s="1" t="s">
        <v>79</v>
      </c>
      <c r="C19" s="1" t="s">
        <v>16</v>
      </c>
      <c r="D19" t="str" cm="1">
        <f t="array" ref="D19">IFERROR(_xlfn.TEXTJOIN(", ",TRUE,_xlfn.UNIQUE(_xlfn._xlws.FILTER(#REF!,(#REF!="Final")*(COUNTIFS('[1]Demand Capacity'!$B:$B,$A19,'[1]Demand Capacity'!$A:$A,#REF!)&gt;0),""))),"")</f>
        <v/>
      </c>
      <c r="E19" s="1" t="s">
        <v>51</v>
      </c>
      <c r="F19" s="1" t="s">
        <v>55</v>
      </c>
      <c r="G19" s="1" t="s">
        <v>56</v>
      </c>
      <c r="H19" s="1" t="s">
        <v>127</v>
      </c>
      <c r="I19" s="1" t="s">
        <v>81</v>
      </c>
      <c r="J19" s="1" t="s">
        <v>76</v>
      </c>
      <c r="K19" s="1" t="s">
        <v>86</v>
      </c>
      <c r="L19" s="1" t="s">
        <v>128</v>
      </c>
      <c r="M19" s="11" t="e">
        <f>IF($L19="","",SUMIF(#REF!,$L19,#REF!))</f>
        <v>#REF!</v>
      </c>
      <c r="N19" s="11"/>
      <c r="O19" s="11" t="e">
        <f>IF($L19="","",SUMIF(#REF!,$L19,#REF!))</f>
        <v>#REF!</v>
      </c>
      <c r="P19" s="12" t="e">
        <f>IF($L19="","",SUMIF(#REF!,$L19,#REF!))</f>
        <v>#REF!</v>
      </c>
      <c r="Q19" s="12"/>
      <c r="R19" s="12" t="e">
        <f>IF($L19="","",SUMIF(#REF!,$L19,#REF!))</f>
        <v>#REF!</v>
      </c>
      <c r="S19" s="11" t="e">
        <f>IF($L19="","",SUMIF(#REF!,$L19,#REF!))</f>
        <v>#REF!</v>
      </c>
      <c r="T19" s="11"/>
      <c r="U19" s="11" t="e">
        <f>IF($L19="","",SUMIF(#REF!,$L19,#REF!))</f>
        <v>#REF!</v>
      </c>
      <c r="V19" s="12" t="e">
        <f>IF($L19="","",SUMIF(#REF!,$L19,#REF!))</f>
        <v>#REF!</v>
      </c>
      <c r="W19" s="12"/>
      <c r="X19" s="12" t="e">
        <f>IF($L19="","",SUMIF(#REF!,$L19,#REF!))</f>
        <v>#REF!</v>
      </c>
      <c r="Y19" s="11" t="e">
        <f>IF($L19="","",SUMIF(#REF!,$L19,#REF!))</f>
        <v>#REF!</v>
      </c>
      <c r="Z19" s="11"/>
      <c r="AA19" s="11" t="e">
        <f>IF($L19="","",SUMIF(#REF!,$L19,#REF!))</f>
        <v>#REF!</v>
      </c>
      <c r="AB19" s="12" t="e">
        <f>IF($L19="","",SUMIF(#REF!,$L19,#REF!))</f>
        <v>#REF!</v>
      </c>
      <c r="AC19" s="12"/>
      <c r="AD19" s="12" t="e">
        <f>IF($L19="","",SUMIF(#REF!,$L19,#REF!))</f>
        <v>#REF!</v>
      </c>
      <c r="AE19" s="11" t="e">
        <f>IF($L19="","",SUMIF(#REF!,$L19,#REF!))</f>
        <v>#REF!</v>
      </c>
      <c r="AF19" s="11"/>
      <c r="AG19" s="11" t="e">
        <f>IF($L19="","",SUMIF(#REF!,$L19,#REF!))</f>
        <v>#REF!</v>
      </c>
    </row>
    <row r="20" spans="1:33">
      <c r="A20" s="1" t="s">
        <v>129</v>
      </c>
      <c r="B20" s="1" t="s">
        <v>130</v>
      </c>
      <c r="C20" s="1" t="s">
        <v>16</v>
      </c>
      <c r="D20" t="str" cm="1">
        <f t="array" ref="D20">IFERROR(_xlfn.TEXTJOIN(", ",TRUE,_xlfn.UNIQUE(_xlfn._xlws.FILTER(#REF!,(#REF!="Final")*(COUNTIFS('[1]Demand Capacity'!$B:$B,$A20,'[1]Demand Capacity'!$A:$A,#REF!)&gt;0),""))),"")</f>
        <v/>
      </c>
      <c r="E20" s="1" t="s">
        <v>62</v>
      </c>
      <c r="F20" s="1" t="s">
        <v>118</v>
      </c>
      <c r="G20" s="1" t="s">
        <v>119</v>
      </c>
      <c r="H20" s="1" t="s">
        <v>120</v>
      </c>
      <c r="I20" s="1" t="s">
        <v>81</v>
      </c>
      <c r="J20" s="1" t="s">
        <v>76</v>
      </c>
      <c r="K20" s="1" t="s">
        <v>86</v>
      </c>
      <c r="L20" s="1" t="s">
        <v>131</v>
      </c>
      <c r="M20" s="11" t="e">
        <f>IF($L20="","",SUMIF(#REF!,$L20,#REF!))</f>
        <v>#REF!</v>
      </c>
      <c r="N20" s="11"/>
      <c r="O20" s="11" t="e">
        <f>IF($L20="","",SUMIF(#REF!,$L20,#REF!))</f>
        <v>#REF!</v>
      </c>
      <c r="P20" s="12" t="e">
        <f>IF($L20="","",SUMIF(#REF!,$L20,#REF!))</f>
        <v>#REF!</v>
      </c>
      <c r="Q20" s="12"/>
      <c r="R20" s="12" t="e">
        <f>IF($L20="","",SUMIF(#REF!,$L20,#REF!))</f>
        <v>#REF!</v>
      </c>
      <c r="S20" s="11" t="e">
        <f>IF($L20="","",SUMIF(#REF!,$L20,#REF!))</f>
        <v>#REF!</v>
      </c>
      <c r="T20" s="11"/>
      <c r="U20" s="11" t="e">
        <f>IF($L20="","",SUMIF(#REF!,$L20,#REF!))</f>
        <v>#REF!</v>
      </c>
      <c r="V20" s="12" t="e">
        <f>IF($L20="","",SUMIF(#REF!,$L20,#REF!))</f>
        <v>#REF!</v>
      </c>
      <c r="W20" s="12"/>
      <c r="X20" s="12" t="e">
        <f>IF($L20="","",SUMIF(#REF!,$L20,#REF!))</f>
        <v>#REF!</v>
      </c>
      <c r="Y20" s="11" t="e">
        <f>IF($L20="","",SUMIF(#REF!,$L20,#REF!))</f>
        <v>#REF!</v>
      </c>
      <c r="Z20" s="11"/>
      <c r="AA20" s="11" t="e">
        <f>IF($L20="","",SUMIF(#REF!,$L20,#REF!))</f>
        <v>#REF!</v>
      </c>
      <c r="AB20" s="12" t="e">
        <f>IF($L20="","",SUMIF(#REF!,$L20,#REF!))</f>
        <v>#REF!</v>
      </c>
      <c r="AC20" s="12"/>
      <c r="AD20" s="12" t="e">
        <f>IF($L20="","",SUMIF(#REF!,$L20,#REF!))</f>
        <v>#REF!</v>
      </c>
      <c r="AE20" s="11" t="e">
        <f>IF($L20="","",SUMIF(#REF!,$L20,#REF!))</f>
        <v>#REF!</v>
      </c>
      <c r="AF20" s="11"/>
      <c r="AG20" s="11" t="e">
        <f>IF($L20="","",SUMIF(#REF!,$L20,#REF!))</f>
        <v>#REF!</v>
      </c>
    </row>
    <row r="21" spans="1:33">
      <c r="A21" s="1" t="s">
        <v>132</v>
      </c>
      <c r="B21" s="1" t="s">
        <v>133</v>
      </c>
      <c r="C21" s="1" t="s">
        <v>16</v>
      </c>
      <c r="D21" t="str" cm="1">
        <f t="array" ref="D21">IFERROR(_xlfn.TEXTJOIN(", ",TRUE,_xlfn.UNIQUE(_xlfn._xlws.FILTER(#REF!,(#REF!="Final")*(COUNTIFS('[1]Demand Capacity'!$B:$B,$A21,'[1]Demand Capacity'!$A:$A,#REF!)&gt;0),""))),"")</f>
        <v/>
      </c>
      <c r="E21" s="1" t="s">
        <v>62</v>
      </c>
      <c r="F21" s="1" t="s">
        <v>55</v>
      </c>
      <c r="G21" s="1" t="s">
        <v>56</v>
      </c>
      <c r="H21" s="1"/>
      <c r="I21" s="1" t="s">
        <v>81</v>
      </c>
      <c r="J21" s="1" t="s">
        <v>76</v>
      </c>
      <c r="K21" s="1" t="s">
        <v>86</v>
      </c>
      <c r="L21" s="1" t="s">
        <v>134</v>
      </c>
      <c r="M21" s="11" t="e">
        <f>IF($L21="","",SUMIF(#REF!,$L21,#REF!))</f>
        <v>#REF!</v>
      </c>
      <c r="N21" s="11"/>
      <c r="O21" s="11" t="e">
        <f>IF($L21="","",SUMIF(#REF!,$L21,#REF!))</f>
        <v>#REF!</v>
      </c>
      <c r="P21" s="12" t="e">
        <f>IF($L21="","",SUMIF(#REF!,$L21,#REF!))</f>
        <v>#REF!</v>
      </c>
      <c r="Q21" s="12"/>
      <c r="R21" s="12" t="e">
        <f>IF($L21="","",SUMIF(#REF!,$L21,#REF!))</f>
        <v>#REF!</v>
      </c>
      <c r="S21" s="11" t="e">
        <f>IF($L21="","",SUMIF(#REF!,$L21,#REF!))</f>
        <v>#REF!</v>
      </c>
      <c r="T21" s="11"/>
      <c r="U21" s="11" t="e">
        <f>IF($L21="","",SUMIF(#REF!,$L21,#REF!))</f>
        <v>#REF!</v>
      </c>
      <c r="V21" s="12" t="e">
        <f>IF($L21="","",SUMIF(#REF!,$L21,#REF!))</f>
        <v>#REF!</v>
      </c>
      <c r="W21" s="12"/>
      <c r="X21" s="12" t="e">
        <f>IF($L21="","",SUMIF(#REF!,$L21,#REF!))</f>
        <v>#REF!</v>
      </c>
      <c r="Y21" s="11" t="e">
        <f>IF($L21="","",SUMIF(#REF!,$L21,#REF!))</f>
        <v>#REF!</v>
      </c>
      <c r="Z21" s="11"/>
      <c r="AA21" s="11" t="e">
        <f>IF($L21="","",SUMIF(#REF!,$L21,#REF!))</f>
        <v>#REF!</v>
      </c>
      <c r="AB21" s="12" t="e">
        <f>IF($L21="","",SUMIF(#REF!,$L21,#REF!))</f>
        <v>#REF!</v>
      </c>
      <c r="AC21" s="12"/>
      <c r="AD21" s="12" t="e">
        <f>IF($L21="","",SUMIF(#REF!,$L21,#REF!))</f>
        <v>#REF!</v>
      </c>
      <c r="AE21" s="11" t="e">
        <f>IF($L21="","",SUMIF(#REF!,$L21,#REF!))</f>
        <v>#REF!</v>
      </c>
      <c r="AF21" s="11"/>
      <c r="AG21" s="11" t="e">
        <f>IF($L21="","",SUMIF(#REF!,$L21,#REF!))</f>
        <v>#REF!</v>
      </c>
    </row>
    <row r="22" spans="1:33">
      <c r="A22" s="1" t="s">
        <v>135</v>
      </c>
      <c r="B22" s="1" t="s">
        <v>136</v>
      </c>
      <c r="C22" s="1" t="s">
        <v>16</v>
      </c>
      <c r="D22" t="str" cm="1">
        <f t="array" ref="D22">IFERROR(_xlfn.TEXTJOIN(", ",TRUE,_xlfn.UNIQUE(_xlfn._xlws.FILTER(#REF!,(#REF!="Final")*(COUNTIFS('[1]Demand Capacity'!$B:$B,$A22,'[1]Demand Capacity'!$A:$A,#REF!)&gt;0),""))),"")</f>
        <v/>
      </c>
      <c r="E22" s="1" t="s">
        <v>51</v>
      </c>
      <c r="F22" s="1" t="s">
        <v>89</v>
      </c>
      <c r="G22" s="1" t="s">
        <v>90</v>
      </c>
      <c r="H22" s="1" t="s">
        <v>137</v>
      </c>
      <c r="I22" s="1" t="s">
        <v>81</v>
      </c>
      <c r="J22" s="1" t="s">
        <v>76</v>
      </c>
      <c r="K22" s="1" t="s">
        <v>121</v>
      </c>
      <c r="L22" s="1" t="s">
        <v>138</v>
      </c>
      <c r="M22" s="11" t="e">
        <f>IF($L22="","",SUMIF(#REF!,$L22,#REF!))</f>
        <v>#REF!</v>
      </c>
      <c r="N22" s="11"/>
      <c r="O22" s="11" t="e">
        <f>IF($L22="","",SUMIF(#REF!,$L22,#REF!))</f>
        <v>#REF!</v>
      </c>
      <c r="P22" s="12" t="e">
        <f>IF($L22="","",SUMIF(#REF!,$L22,#REF!))</f>
        <v>#REF!</v>
      </c>
      <c r="Q22" s="12"/>
      <c r="R22" s="12" t="e">
        <f>IF($L22="","",SUMIF(#REF!,$L22,#REF!))</f>
        <v>#REF!</v>
      </c>
      <c r="S22" s="11" t="e">
        <f>IF($L22="","",SUMIF(#REF!,$L22,#REF!))</f>
        <v>#REF!</v>
      </c>
      <c r="T22" s="11"/>
      <c r="U22" s="11" t="e">
        <f>IF($L22="","",SUMIF(#REF!,$L22,#REF!))</f>
        <v>#REF!</v>
      </c>
      <c r="V22" s="12" t="e">
        <f>IF($L22="","",SUMIF(#REF!,$L22,#REF!))</f>
        <v>#REF!</v>
      </c>
      <c r="W22" s="12"/>
      <c r="X22" s="12" t="e">
        <f>IF($L22="","",SUMIF(#REF!,$L22,#REF!))</f>
        <v>#REF!</v>
      </c>
      <c r="Y22" s="11" t="e">
        <f>IF($L22="","",SUMIF(#REF!,$L22,#REF!))</f>
        <v>#REF!</v>
      </c>
      <c r="Z22" s="11"/>
      <c r="AA22" s="11" t="e">
        <f>IF($L22="","",SUMIF(#REF!,$L22,#REF!))</f>
        <v>#REF!</v>
      </c>
      <c r="AB22" s="12" t="e">
        <f>IF($L22="","",SUMIF(#REF!,$L22,#REF!))</f>
        <v>#REF!</v>
      </c>
      <c r="AC22" s="12"/>
      <c r="AD22" s="12" t="e">
        <f>IF($L22="","",SUMIF(#REF!,$L22,#REF!))</f>
        <v>#REF!</v>
      </c>
      <c r="AE22" s="11" t="e">
        <f>IF($L22="","",SUMIF(#REF!,$L22,#REF!))</f>
        <v>#REF!</v>
      </c>
      <c r="AF22" s="11"/>
      <c r="AG22" s="11" t="e">
        <f>IF($L22="","",SUMIF(#REF!,$L22,#REF!))</f>
        <v>#REF!</v>
      </c>
    </row>
    <row r="23" spans="1:33">
      <c r="A23" s="1" t="s">
        <v>139</v>
      </c>
      <c r="B23" s="1" t="s">
        <v>140</v>
      </c>
      <c r="C23" s="1" t="s">
        <v>16</v>
      </c>
      <c r="D23" t="str" cm="1">
        <f t="array" ref="D23">IFERROR(_xlfn.TEXTJOIN(", ",TRUE,_xlfn.UNIQUE(_xlfn._xlws.FILTER(#REF!,(#REF!="Final")*(COUNTIFS('[1]Demand Capacity'!$B:$B,$A23,'[1]Demand Capacity'!$A:$A,#REF!)&gt;0),""))),"")</f>
        <v/>
      </c>
      <c r="E23" s="1" t="s">
        <v>51</v>
      </c>
      <c r="F23" s="1" t="s">
        <v>55</v>
      </c>
      <c r="G23" s="1" t="s">
        <v>56</v>
      </c>
      <c r="H23" s="1"/>
      <c r="I23" s="1" t="s">
        <v>81</v>
      </c>
      <c r="J23" s="1" t="s">
        <v>76</v>
      </c>
      <c r="K23" s="1" t="s">
        <v>86</v>
      </c>
      <c r="L23" s="1" t="s">
        <v>141</v>
      </c>
      <c r="M23" s="11" t="e">
        <f>IF($L23="","",SUMIF(#REF!,$L23,#REF!))</f>
        <v>#REF!</v>
      </c>
      <c r="N23" s="11"/>
      <c r="O23" s="11" t="e">
        <f>IF($L23="","",SUMIF(#REF!,$L23,#REF!))</f>
        <v>#REF!</v>
      </c>
      <c r="P23" s="12" t="e">
        <f>IF($L23="","",SUMIF(#REF!,$L23,#REF!))</f>
        <v>#REF!</v>
      </c>
      <c r="Q23" s="12"/>
      <c r="R23" s="12" t="e">
        <f>IF($L23="","",SUMIF(#REF!,$L23,#REF!))</f>
        <v>#REF!</v>
      </c>
      <c r="S23" s="11" t="e">
        <f>IF($L23="","",SUMIF(#REF!,$L23,#REF!))</f>
        <v>#REF!</v>
      </c>
      <c r="T23" s="11"/>
      <c r="U23" s="11" t="e">
        <f>IF($L23="","",SUMIF(#REF!,$L23,#REF!))</f>
        <v>#REF!</v>
      </c>
      <c r="V23" s="12" t="e">
        <f>IF($L23="","",SUMIF(#REF!,$L23,#REF!))</f>
        <v>#REF!</v>
      </c>
      <c r="W23" s="12"/>
      <c r="X23" s="12" t="e">
        <f>IF($L23="","",SUMIF(#REF!,$L23,#REF!))</f>
        <v>#REF!</v>
      </c>
      <c r="Y23" s="11" t="e">
        <f>IF($L23="","",SUMIF(#REF!,$L23,#REF!))</f>
        <v>#REF!</v>
      </c>
      <c r="Z23" s="11"/>
      <c r="AA23" s="11" t="e">
        <f>IF($L23="","",SUMIF(#REF!,$L23,#REF!))</f>
        <v>#REF!</v>
      </c>
      <c r="AB23" s="12" t="e">
        <f>IF($L23="","",SUMIF(#REF!,$L23,#REF!))</f>
        <v>#REF!</v>
      </c>
      <c r="AC23" s="12"/>
      <c r="AD23" s="12" t="e">
        <f>IF($L23="","",SUMIF(#REF!,$L23,#REF!))</f>
        <v>#REF!</v>
      </c>
      <c r="AE23" s="11" t="e">
        <f>IF($L23="","",SUMIF(#REF!,$L23,#REF!))</f>
        <v>#REF!</v>
      </c>
      <c r="AF23" s="11"/>
      <c r="AG23" s="11" t="e">
        <f>IF($L23="","",SUMIF(#REF!,$L23,#REF!))</f>
        <v>#REF!</v>
      </c>
    </row>
    <row r="24" spans="1:33">
      <c r="A24" s="1" t="s">
        <v>142</v>
      </c>
      <c r="B24" s="1" t="s">
        <v>79</v>
      </c>
      <c r="C24" s="1" t="s">
        <v>16</v>
      </c>
      <c r="D24" t="str" cm="1">
        <f t="array" ref="D24">IFERROR(_xlfn.TEXTJOIN(", ",TRUE,_xlfn.UNIQUE(_xlfn._xlws.FILTER(#REF!,(#REF!="Final")*(COUNTIFS('[1]Demand Capacity'!$B:$B,$A24,'[1]Demand Capacity'!$A:$A,#REF!)&gt;0),""))),"")</f>
        <v/>
      </c>
      <c r="E24" s="1" t="s">
        <v>62</v>
      </c>
      <c r="F24" s="1" t="s">
        <v>55</v>
      </c>
      <c r="G24" s="1" t="s">
        <v>56</v>
      </c>
      <c r="H24" s="1"/>
      <c r="I24" s="1" t="s">
        <v>81</v>
      </c>
      <c r="J24" s="1" t="s">
        <v>76</v>
      </c>
      <c r="K24" s="1" t="s">
        <v>86</v>
      </c>
      <c r="L24" s="1" t="s">
        <v>143</v>
      </c>
      <c r="M24" s="11" t="e">
        <f>IF($L24="","",SUMIF(#REF!,$L24,#REF!))</f>
        <v>#REF!</v>
      </c>
      <c r="N24" s="11"/>
      <c r="O24" s="11" t="e">
        <f>IF($L24="","",SUMIF(#REF!,$L24,#REF!))</f>
        <v>#REF!</v>
      </c>
      <c r="P24" s="12" t="e">
        <f>IF($L24="","",SUMIF(#REF!,$L24,#REF!))</f>
        <v>#REF!</v>
      </c>
      <c r="Q24" s="12"/>
      <c r="R24" s="12" t="e">
        <f>IF($L24="","",SUMIF(#REF!,$L24,#REF!))</f>
        <v>#REF!</v>
      </c>
      <c r="S24" s="11" t="e">
        <f>IF($L24="","",SUMIF(#REF!,$L24,#REF!))</f>
        <v>#REF!</v>
      </c>
      <c r="T24" s="11"/>
      <c r="U24" s="11" t="e">
        <f>IF($L24="","",SUMIF(#REF!,$L24,#REF!))</f>
        <v>#REF!</v>
      </c>
      <c r="V24" s="12" t="e">
        <f>IF($L24="","",SUMIF(#REF!,$L24,#REF!))</f>
        <v>#REF!</v>
      </c>
      <c r="W24" s="12"/>
      <c r="X24" s="12" t="e">
        <f>IF($L24="","",SUMIF(#REF!,$L24,#REF!))</f>
        <v>#REF!</v>
      </c>
      <c r="Y24" s="11" t="e">
        <f>IF($L24="","",SUMIF(#REF!,$L24,#REF!))</f>
        <v>#REF!</v>
      </c>
      <c r="Z24" s="11"/>
      <c r="AA24" s="11" t="e">
        <f>IF($L24="","",SUMIF(#REF!,$L24,#REF!))</f>
        <v>#REF!</v>
      </c>
      <c r="AB24" s="12" t="e">
        <f>IF($L24="","",SUMIF(#REF!,$L24,#REF!))</f>
        <v>#REF!</v>
      </c>
      <c r="AC24" s="12"/>
      <c r="AD24" s="12" t="e">
        <f>IF($L24="","",SUMIF(#REF!,$L24,#REF!))</f>
        <v>#REF!</v>
      </c>
      <c r="AE24" s="11" t="e">
        <f>IF($L24="","",SUMIF(#REF!,$L24,#REF!))</f>
        <v>#REF!</v>
      </c>
      <c r="AF24" s="11"/>
      <c r="AG24" s="11" t="e">
        <f>IF($L24="","",SUMIF(#REF!,$L24,#REF!))</f>
        <v>#REF!</v>
      </c>
    </row>
    <row r="25" spans="1:33">
      <c r="A25" s="1" t="s">
        <v>144</v>
      </c>
      <c r="B25" s="1" t="s">
        <v>79</v>
      </c>
      <c r="C25" s="1" t="s">
        <v>16</v>
      </c>
      <c r="D25" t="str" cm="1">
        <f t="array" ref="D25">IFERROR(_xlfn.TEXTJOIN(", ",TRUE,_xlfn.UNIQUE(_xlfn._xlws.FILTER(#REF!,(#REF!="Final")*(COUNTIFS('[1]Demand Capacity'!$B:$B,$A25,'[1]Demand Capacity'!$A:$A,#REF!)&gt;0),""))),"")</f>
        <v/>
      </c>
      <c r="E25" s="1" t="s">
        <v>62</v>
      </c>
      <c r="F25" s="1" t="s">
        <v>55</v>
      </c>
      <c r="G25" s="1" t="s">
        <v>56</v>
      </c>
      <c r="H25" s="1" t="s">
        <v>113</v>
      </c>
      <c r="I25" s="1" t="s">
        <v>145</v>
      </c>
      <c r="J25" s="1" t="s">
        <v>76</v>
      </c>
      <c r="K25" s="1" t="s">
        <v>86</v>
      </c>
      <c r="L25" s="1" t="s">
        <v>146</v>
      </c>
      <c r="M25" s="11" t="e">
        <f>IF($L25="","",SUMIF(#REF!,$L25,#REF!))</f>
        <v>#REF!</v>
      </c>
      <c r="N25" s="11"/>
      <c r="O25" s="11" t="e">
        <f>IF($L25="","",SUMIF(#REF!,$L25,#REF!))</f>
        <v>#REF!</v>
      </c>
      <c r="P25" s="12" t="e">
        <f>IF($L25="","",SUMIF(#REF!,$L25,#REF!))</f>
        <v>#REF!</v>
      </c>
      <c r="Q25" s="12"/>
      <c r="R25" s="12" t="e">
        <f>IF($L25="","",SUMIF(#REF!,$L25,#REF!))</f>
        <v>#REF!</v>
      </c>
      <c r="S25" s="11" t="e">
        <f>IF($L25="","",SUMIF(#REF!,$L25,#REF!))</f>
        <v>#REF!</v>
      </c>
      <c r="T25" s="11"/>
      <c r="U25" s="11" t="e">
        <f>IF($L25="","",SUMIF(#REF!,$L25,#REF!))</f>
        <v>#REF!</v>
      </c>
      <c r="V25" s="12" t="e">
        <f>IF($L25="","",SUMIF(#REF!,$L25,#REF!))</f>
        <v>#REF!</v>
      </c>
      <c r="W25" s="12"/>
      <c r="X25" s="12" t="e">
        <f>IF($L25="","",SUMIF(#REF!,$L25,#REF!))</f>
        <v>#REF!</v>
      </c>
      <c r="Y25" s="11" t="e">
        <f>IF($L25="","",SUMIF(#REF!,$L25,#REF!))</f>
        <v>#REF!</v>
      </c>
      <c r="Z25" s="11"/>
      <c r="AA25" s="11" t="e">
        <f>IF($L25="","",SUMIF(#REF!,$L25,#REF!))</f>
        <v>#REF!</v>
      </c>
      <c r="AB25" s="12" t="e">
        <f>IF($L25="","",SUMIF(#REF!,$L25,#REF!))</f>
        <v>#REF!</v>
      </c>
      <c r="AC25" s="12"/>
      <c r="AD25" s="12" t="e">
        <f>IF($L25="","",SUMIF(#REF!,$L25,#REF!))</f>
        <v>#REF!</v>
      </c>
      <c r="AE25" s="11" t="e">
        <f>IF($L25="","",SUMIF(#REF!,$L25,#REF!))</f>
        <v>#REF!</v>
      </c>
      <c r="AF25" s="11"/>
      <c r="AG25" s="11" t="e">
        <f>IF($L25="","",SUMIF(#REF!,$L25,#REF!))</f>
        <v>#REF!</v>
      </c>
    </row>
    <row r="26" spans="1:33">
      <c r="A26" s="1" t="s">
        <v>147</v>
      </c>
      <c r="B26" s="1" t="s">
        <v>79</v>
      </c>
      <c r="C26" s="1" t="s">
        <v>16</v>
      </c>
      <c r="D26" t="str" cm="1">
        <f t="array" ref="D26">IFERROR(_xlfn.TEXTJOIN(", ",TRUE,_xlfn.UNIQUE(_xlfn._xlws.FILTER(#REF!,(#REF!="Final")*(COUNTIFS('[1]Demand Capacity'!$B:$B,$A26,'[1]Demand Capacity'!$A:$A,#REF!)&gt;0),""))),"")</f>
        <v/>
      </c>
      <c r="E26" s="1" t="s">
        <v>62</v>
      </c>
      <c r="F26" s="1" t="s">
        <v>89</v>
      </c>
      <c r="G26" s="1" t="s">
        <v>90</v>
      </c>
      <c r="H26" s="1"/>
      <c r="I26" s="1" t="s">
        <v>145</v>
      </c>
      <c r="J26" s="1" t="s">
        <v>76</v>
      </c>
      <c r="K26" s="1" t="s">
        <v>86</v>
      </c>
      <c r="L26" s="1" t="s">
        <v>148</v>
      </c>
      <c r="M26" s="11" t="e">
        <f>IF($L26="","",SUMIF(#REF!,$L26,#REF!))</f>
        <v>#REF!</v>
      </c>
      <c r="N26" s="11"/>
      <c r="O26" s="11" t="e">
        <f>IF($L26="","",SUMIF(#REF!,$L26,#REF!))</f>
        <v>#REF!</v>
      </c>
      <c r="P26" s="12" t="e">
        <f>IF($L26="","",SUMIF(#REF!,$L26,#REF!))</f>
        <v>#REF!</v>
      </c>
      <c r="Q26" s="12"/>
      <c r="R26" s="12" t="e">
        <f>IF($L26="","",SUMIF(#REF!,$L26,#REF!))</f>
        <v>#REF!</v>
      </c>
      <c r="S26" s="11" t="e">
        <f>IF($L26="","",SUMIF(#REF!,$L26,#REF!))</f>
        <v>#REF!</v>
      </c>
      <c r="T26" s="11"/>
      <c r="U26" s="11" t="e">
        <f>IF($L26="","",SUMIF(#REF!,$L26,#REF!))</f>
        <v>#REF!</v>
      </c>
      <c r="V26" s="12" t="e">
        <f>IF($L26="","",SUMIF(#REF!,$L26,#REF!))</f>
        <v>#REF!</v>
      </c>
      <c r="W26" s="12"/>
      <c r="X26" s="12" t="e">
        <f>IF($L26="","",SUMIF(#REF!,$L26,#REF!))</f>
        <v>#REF!</v>
      </c>
      <c r="Y26" s="11" t="e">
        <f>IF($L26="","",SUMIF(#REF!,$L26,#REF!))</f>
        <v>#REF!</v>
      </c>
      <c r="Z26" s="11"/>
      <c r="AA26" s="11" t="e">
        <f>IF($L26="","",SUMIF(#REF!,$L26,#REF!))</f>
        <v>#REF!</v>
      </c>
      <c r="AB26" s="12" t="e">
        <f>IF($L26="","",SUMIF(#REF!,$L26,#REF!))</f>
        <v>#REF!</v>
      </c>
      <c r="AC26" s="12"/>
      <c r="AD26" s="12" t="e">
        <f>IF($L26="","",SUMIF(#REF!,$L26,#REF!))</f>
        <v>#REF!</v>
      </c>
      <c r="AE26" s="11" t="e">
        <f>IF($L26="","",SUMIF(#REF!,$L26,#REF!))</f>
        <v>#REF!</v>
      </c>
      <c r="AF26" s="11"/>
      <c r="AG26" s="11" t="e">
        <f>IF($L26="","",SUMIF(#REF!,$L26,#REF!))</f>
        <v>#REF!</v>
      </c>
    </row>
    <row r="27" spans="1:33">
      <c r="A27" s="1" t="s">
        <v>149</v>
      </c>
      <c r="B27" s="1" t="s">
        <v>150</v>
      </c>
      <c r="C27" s="1" t="s">
        <v>16</v>
      </c>
      <c r="D27" t="str" cm="1">
        <f t="array" ref="D27">IFERROR(_xlfn.TEXTJOIN(", ",TRUE,_xlfn.UNIQUE(_xlfn._xlws.FILTER(#REF!,(#REF!="Final")*(COUNTIFS('[1]Demand Capacity'!$B:$B,$A27,'[1]Demand Capacity'!$A:$A,#REF!)&gt;0),""))),"")</f>
        <v/>
      </c>
      <c r="E27" s="1" t="s">
        <v>51</v>
      </c>
      <c r="F27" s="1" t="s">
        <v>55</v>
      </c>
      <c r="G27" s="1" t="s">
        <v>56</v>
      </c>
      <c r="H27" s="1" t="s">
        <v>113</v>
      </c>
      <c r="I27" s="1" t="s">
        <v>81</v>
      </c>
      <c r="J27" s="1" t="s">
        <v>76</v>
      </c>
      <c r="K27" s="1" t="s">
        <v>82</v>
      </c>
      <c r="L27" s="1" t="s">
        <v>151</v>
      </c>
      <c r="M27" s="11" t="e">
        <f>IF($L27="","",SUMIF(#REF!,$L27,#REF!))</f>
        <v>#REF!</v>
      </c>
      <c r="N27" s="11"/>
      <c r="O27" s="11" t="e">
        <f>IF($L27="","",SUMIF(#REF!,$L27,#REF!))</f>
        <v>#REF!</v>
      </c>
      <c r="P27" s="12" t="e">
        <f>IF($L27="","",SUMIF(#REF!,$L27,#REF!))</f>
        <v>#REF!</v>
      </c>
      <c r="Q27" s="12"/>
      <c r="R27" s="12" t="e">
        <f>IF($L27="","",SUMIF(#REF!,$L27,#REF!))</f>
        <v>#REF!</v>
      </c>
      <c r="S27" s="11" t="e">
        <f>IF($L27="","",SUMIF(#REF!,$L27,#REF!))</f>
        <v>#REF!</v>
      </c>
      <c r="T27" s="11"/>
      <c r="U27" s="11" t="e">
        <f>IF($L27="","",SUMIF(#REF!,$L27,#REF!))</f>
        <v>#REF!</v>
      </c>
      <c r="V27" s="12" t="e">
        <f>IF($L27="","",SUMIF(#REF!,$L27,#REF!))</f>
        <v>#REF!</v>
      </c>
      <c r="W27" s="12"/>
      <c r="X27" s="12" t="e">
        <f>IF($L27="","",SUMIF(#REF!,$L27,#REF!))</f>
        <v>#REF!</v>
      </c>
      <c r="Y27" s="11" t="e">
        <f>IF($L27="","",SUMIF(#REF!,$L27,#REF!))</f>
        <v>#REF!</v>
      </c>
      <c r="Z27" s="11"/>
      <c r="AA27" s="11" t="e">
        <f>IF($L27="","",SUMIF(#REF!,$L27,#REF!))</f>
        <v>#REF!</v>
      </c>
      <c r="AB27" s="12" t="e">
        <f>IF($L27="","",SUMIF(#REF!,$L27,#REF!))</f>
        <v>#REF!</v>
      </c>
      <c r="AC27" s="12"/>
      <c r="AD27" s="12" t="e">
        <f>IF($L27="","",SUMIF(#REF!,$L27,#REF!))</f>
        <v>#REF!</v>
      </c>
      <c r="AE27" s="11" t="e">
        <f>IF($L27="","",SUMIF(#REF!,$L27,#REF!))</f>
        <v>#REF!</v>
      </c>
      <c r="AF27" s="11"/>
      <c r="AG27" s="11" t="e">
        <f>IF($L27="","",SUMIF(#REF!,$L27,#REF!))</f>
        <v>#REF!</v>
      </c>
    </row>
    <row r="28" spans="1:33">
      <c r="A28" s="1" t="s">
        <v>152</v>
      </c>
      <c r="B28" s="1" t="s">
        <v>153</v>
      </c>
      <c r="C28" s="1" t="s">
        <v>16</v>
      </c>
      <c r="D28" t="str" cm="1">
        <f t="array" ref="D28">IFERROR(_xlfn.TEXTJOIN(", ",TRUE,_xlfn.UNIQUE(_xlfn._xlws.FILTER(#REF!,(#REF!="Final")*(COUNTIFS('[1]Demand Capacity'!$B:$B,$A28,'[1]Demand Capacity'!$A:$A,#REF!)&gt;0),""))),"")</f>
        <v/>
      </c>
      <c r="E28" s="1" t="s">
        <v>51</v>
      </c>
      <c r="F28" s="1" t="s">
        <v>118</v>
      </c>
      <c r="G28" s="1" t="s">
        <v>119</v>
      </c>
      <c r="H28" s="1" t="s">
        <v>154</v>
      </c>
      <c r="I28" s="1" t="s">
        <v>145</v>
      </c>
      <c r="J28" s="1" t="s">
        <v>76</v>
      </c>
      <c r="K28" s="1" t="s">
        <v>86</v>
      </c>
      <c r="L28" s="1" t="s">
        <v>155</v>
      </c>
      <c r="M28" s="11" t="e">
        <f>IF($L28="","",SUMIF(#REF!,$L28,#REF!))</f>
        <v>#REF!</v>
      </c>
      <c r="N28" s="11"/>
      <c r="O28" s="11" t="e">
        <f>IF($L28="","",SUMIF(#REF!,$L28,#REF!))</f>
        <v>#REF!</v>
      </c>
      <c r="P28" s="12" t="e">
        <f>IF($L28="","",SUMIF(#REF!,$L28,#REF!))</f>
        <v>#REF!</v>
      </c>
      <c r="Q28" s="12"/>
      <c r="R28" s="12" t="e">
        <f>IF($L28="","",SUMIF(#REF!,$L28,#REF!))</f>
        <v>#REF!</v>
      </c>
      <c r="S28" s="11" t="e">
        <f>IF($L28="","",SUMIF(#REF!,$L28,#REF!))</f>
        <v>#REF!</v>
      </c>
      <c r="T28" s="11"/>
      <c r="U28" s="11" t="e">
        <f>IF($L28="","",SUMIF(#REF!,$L28,#REF!))</f>
        <v>#REF!</v>
      </c>
      <c r="V28" s="12" t="e">
        <f>IF($L28="","",SUMIF(#REF!,$L28,#REF!))</f>
        <v>#REF!</v>
      </c>
      <c r="W28" s="12"/>
      <c r="X28" s="12" t="e">
        <f>IF($L28="","",SUMIF(#REF!,$L28,#REF!))</f>
        <v>#REF!</v>
      </c>
      <c r="Y28" s="11" t="e">
        <f>IF($L28="","",SUMIF(#REF!,$L28,#REF!))</f>
        <v>#REF!</v>
      </c>
      <c r="Z28" s="11"/>
      <c r="AA28" s="11" t="e">
        <f>IF($L28="","",SUMIF(#REF!,$L28,#REF!))</f>
        <v>#REF!</v>
      </c>
      <c r="AB28" s="12" t="e">
        <f>IF($L28="","",SUMIF(#REF!,$L28,#REF!))</f>
        <v>#REF!</v>
      </c>
      <c r="AC28" s="12"/>
      <c r="AD28" s="12" t="e">
        <f>IF($L28="","",SUMIF(#REF!,$L28,#REF!))</f>
        <v>#REF!</v>
      </c>
      <c r="AE28" s="11" t="e">
        <f>IF($L28="","",SUMIF(#REF!,$L28,#REF!))</f>
        <v>#REF!</v>
      </c>
      <c r="AF28" s="11"/>
      <c r="AG28" s="11" t="e">
        <f>IF($L28="","",SUMIF(#REF!,$L28,#REF!))</f>
        <v>#REF!</v>
      </c>
    </row>
    <row r="29" spans="1:33" ht="15.75">
      <c r="A29" s="1" t="s">
        <v>156</v>
      </c>
      <c r="B29" s="1" t="s">
        <v>157</v>
      </c>
      <c r="C29" s="1" t="s">
        <v>16</v>
      </c>
      <c r="D29" t="str" cm="1">
        <f t="array" ref="D29">IFERROR(_xlfn.TEXTJOIN(", ",TRUE,_xlfn.UNIQUE(_xlfn._xlws.FILTER(#REF!,(#REF!="Final")*(COUNTIFS('[1]Demand Capacity'!$B:$B,$A29,'[1]Demand Capacity'!$A:$A,#REF!)&gt;0),""))),"")</f>
        <v/>
      </c>
      <c r="E29" s="1" t="s">
        <v>51</v>
      </c>
      <c r="F29" s="1" t="s">
        <v>55</v>
      </c>
      <c r="G29" s="1" t="s">
        <v>56</v>
      </c>
      <c r="H29" s="2" t="s">
        <v>158</v>
      </c>
      <c r="I29" s="1" t="s">
        <v>81</v>
      </c>
      <c r="J29" s="1" t="s">
        <v>76</v>
      </c>
      <c r="K29" s="1" t="s">
        <v>86</v>
      </c>
      <c r="L29" s="1" t="s">
        <v>159</v>
      </c>
      <c r="M29" s="11" t="e">
        <f>IF($L29="","",SUMIF(#REF!,$L29,#REF!))</f>
        <v>#REF!</v>
      </c>
      <c r="N29" s="11"/>
      <c r="O29" s="11" t="e">
        <f>IF($L29="","",SUMIF(#REF!,$L29,#REF!))</f>
        <v>#REF!</v>
      </c>
      <c r="P29" s="12" t="e">
        <f>IF($L29="","",SUMIF(#REF!,$L29,#REF!))</f>
        <v>#REF!</v>
      </c>
      <c r="Q29" s="12"/>
      <c r="R29" s="12" t="e">
        <f>IF($L29="","",SUMIF(#REF!,$L29,#REF!))</f>
        <v>#REF!</v>
      </c>
      <c r="S29" s="11" t="e">
        <f>IF($L29="","",SUMIF(#REF!,$L29,#REF!))</f>
        <v>#REF!</v>
      </c>
      <c r="T29" s="11"/>
      <c r="U29" s="11" t="e">
        <f>IF($L29="","",SUMIF(#REF!,$L29,#REF!))</f>
        <v>#REF!</v>
      </c>
      <c r="V29" s="12" t="e">
        <f>IF($L29="","",SUMIF(#REF!,$L29,#REF!))</f>
        <v>#REF!</v>
      </c>
      <c r="W29" s="12"/>
      <c r="X29" s="12" t="e">
        <f>IF($L29="","",SUMIF(#REF!,$L29,#REF!))</f>
        <v>#REF!</v>
      </c>
      <c r="Y29" s="11" t="e">
        <f>IF($L29="","",SUMIF(#REF!,$L29,#REF!))</f>
        <v>#REF!</v>
      </c>
      <c r="Z29" s="11"/>
      <c r="AA29" s="11" t="e">
        <f>IF($L29="","",SUMIF(#REF!,$L29,#REF!))</f>
        <v>#REF!</v>
      </c>
      <c r="AB29" s="12" t="e">
        <f>IF($L29="","",SUMIF(#REF!,$L29,#REF!))</f>
        <v>#REF!</v>
      </c>
      <c r="AC29" s="12"/>
      <c r="AD29" s="12" t="e">
        <f>IF($L29="","",SUMIF(#REF!,$L29,#REF!))</f>
        <v>#REF!</v>
      </c>
      <c r="AE29" s="11" t="e">
        <f>IF($L29="","",SUMIF(#REF!,$L29,#REF!))</f>
        <v>#REF!</v>
      </c>
      <c r="AF29" s="11"/>
      <c r="AG29" s="11" t="e">
        <f>IF($L29="","",SUMIF(#REF!,$L29,#REF!))</f>
        <v>#REF!</v>
      </c>
    </row>
    <row r="30" spans="1:33">
      <c r="A30" s="1" t="s">
        <v>160</v>
      </c>
      <c r="B30" s="1" t="s">
        <v>161</v>
      </c>
      <c r="C30" s="1" t="s">
        <v>16</v>
      </c>
      <c r="D30" t="str" cm="1">
        <f t="array" ref="D30">IFERROR(_xlfn.TEXTJOIN(", ",TRUE,_xlfn.UNIQUE(_xlfn._xlws.FILTER(#REF!,(#REF!="Final")*(COUNTIFS('[1]Demand Capacity'!$B:$B,$A30,'[1]Demand Capacity'!$A:$A,#REF!)&gt;0),""))),"")</f>
        <v/>
      </c>
      <c r="E30" s="1" t="s">
        <v>51</v>
      </c>
      <c r="F30" s="1" t="s">
        <v>118</v>
      </c>
      <c r="G30" s="1" t="s">
        <v>119</v>
      </c>
      <c r="H30" s="1" t="s">
        <v>137</v>
      </c>
      <c r="I30" s="1" t="s">
        <v>162</v>
      </c>
      <c r="J30" s="1" t="s">
        <v>76</v>
      </c>
      <c r="K30" s="1" t="s">
        <v>106</v>
      </c>
      <c r="L30" s="1" t="s">
        <v>163</v>
      </c>
      <c r="M30" s="11" t="e">
        <f>IF($L30="","",SUMIF(#REF!,$L30,#REF!))</f>
        <v>#REF!</v>
      </c>
      <c r="N30" s="11"/>
      <c r="O30" s="11" t="e">
        <f>IF($L30="","",SUMIF(#REF!,$L30,#REF!))</f>
        <v>#REF!</v>
      </c>
      <c r="P30" s="12" t="e">
        <f>IF($L30="","",SUMIF(#REF!,$L30,#REF!))</f>
        <v>#REF!</v>
      </c>
      <c r="Q30" s="12"/>
      <c r="R30" s="12" t="e">
        <f>IF($L30="","",SUMIF(#REF!,$L30,#REF!))</f>
        <v>#REF!</v>
      </c>
      <c r="S30" s="11" t="e">
        <f>IF($L30="","",SUMIF(#REF!,$L30,#REF!))</f>
        <v>#REF!</v>
      </c>
      <c r="T30" s="11"/>
      <c r="U30" s="11" t="e">
        <f>IF($L30="","",SUMIF(#REF!,$L30,#REF!))</f>
        <v>#REF!</v>
      </c>
      <c r="V30" s="12" t="e">
        <f>IF($L30="","",SUMIF(#REF!,$L30,#REF!))</f>
        <v>#REF!</v>
      </c>
      <c r="W30" s="12"/>
      <c r="X30" s="12" t="e">
        <f>IF($L30="","",SUMIF(#REF!,$L30,#REF!))</f>
        <v>#REF!</v>
      </c>
      <c r="Y30" s="11" t="e">
        <f>IF($L30="","",SUMIF(#REF!,$L30,#REF!))</f>
        <v>#REF!</v>
      </c>
      <c r="Z30" s="11"/>
      <c r="AA30" s="11" t="e">
        <f>IF($L30="","",SUMIF(#REF!,$L30,#REF!))</f>
        <v>#REF!</v>
      </c>
      <c r="AB30" s="12" t="e">
        <f>IF($L30="","",SUMIF(#REF!,$L30,#REF!))</f>
        <v>#REF!</v>
      </c>
      <c r="AC30" s="12"/>
      <c r="AD30" s="12" t="e">
        <f>IF($L30="","",SUMIF(#REF!,$L30,#REF!))</f>
        <v>#REF!</v>
      </c>
      <c r="AE30" s="11" t="e">
        <f>IF($L30="","",SUMIF(#REF!,$L30,#REF!))</f>
        <v>#REF!</v>
      </c>
      <c r="AF30" s="11"/>
      <c r="AG30" s="11" t="e">
        <f>IF($L30="","",SUMIF(#REF!,$L30,#REF!))</f>
        <v>#REF!</v>
      </c>
    </row>
    <row r="31" spans="1:33">
      <c r="A31" s="1" t="s">
        <v>164</v>
      </c>
      <c r="B31" s="1" t="s">
        <v>165</v>
      </c>
      <c r="C31" s="1" t="s">
        <v>16</v>
      </c>
      <c r="D31" t="str" cm="1">
        <f t="array" ref="D31">IFERROR(_xlfn.TEXTJOIN(", ",TRUE,_xlfn.UNIQUE(_xlfn._xlws.FILTER(#REF!,(#REF!="Final")*(COUNTIFS('[1]Demand Capacity'!$B:$B,$A31,'[1]Demand Capacity'!$A:$A,#REF!)&gt;0),""))),"")</f>
        <v/>
      </c>
      <c r="E31" s="1" t="s">
        <v>51</v>
      </c>
      <c r="F31" s="1" t="s">
        <v>118</v>
      </c>
      <c r="G31" s="1" t="s">
        <v>119</v>
      </c>
      <c r="H31" s="1"/>
      <c r="I31" s="1" t="s">
        <v>162</v>
      </c>
      <c r="J31" s="1" t="s">
        <v>76</v>
      </c>
      <c r="K31" s="1" t="s">
        <v>106</v>
      </c>
      <c r="L31" s="1" t="s">
        <v>166</v>
      </c>
      <c r="M31" s="11" t="e">
        <f>IF($L31="","",SUMIF(#REF!,$L31,#REF!))</f>
        <v>#REF!</v>
      </c>
      <c r="N31" s="11"/>
      <c r="O31" s="11" t="e">
        <f>IF($L31="","",SUMIF(#REF!,$L31,#REF!))</f>
        <v>#REF!</v>
      </c>
      <c r="P31" s="12" t="e">
        <f>IF($L31="","",SUMIF(#REF!,$L31,#REF!))</f>
        <v>#REF!</v>
      </c>
      <c r="Q31" s="12"/>
      <c r="R31" s="12" t="e">
        <f>IF($L31="","",SUMIF(#REF!,$L31,#REF!))</f>
        <v>#REF!</v>
      </c>
      <c r="S31" s="11" t="e">
        <f>IF($L31="","",SUMIF(#REF!,$L31,#REF!))</f>
        <v>#REF!</v>
      </c>
      <c r="T31" s="11"/>
      <c r="U31" s="11" t="e">
        <f>IF($L31="","",SUMIF(#REF!,$L31,#REF!))</f>
        <v>#REF!</v>
      </c>
      <c r="V31" s="12" t="e">
        <f>IF($L31="","",SUMIF(#REF!,$L31,#REF!))</f>
        <v>#REF!</v>
      </c>
      <c r="W31" s="12"/>
      <c r="X31" s="12" t="e">
        <f>IF($L31="","",SUMIF(#REF!,$L31,#REF!))</f>
        <v>#REF!</v>
      </c>
      <c r="Y31" s="11" t="e">
        <f>IF($L31="","",SUMIF(#REF!,$L31,#REF!))</f>
        <v>#REF!</v>
      </c>
      <c r="Z31" s="11"/>
      <c r="AA31" s="11" t="e">
        <f>IF($L31="","",SUMIF(#REF!,$L31,#REF!))</f>
        <v>#REF!</v>
      </c>
      <c r="AB31" s="12" t="e">
        <f>IF($L31="","",SUMIF(#REF!,$L31,#REF!))</f>
        <v>#REF!</v>
      </c>
      <c r="AC31" s="12"/>
      <c r="AD31" s="12" t="e">
        <f>IF($L31="","",SUMIF(#REF!,$L31,#REF!))</f>
        <v>#REF!</v>
      </c>
      <c r="AE31" s="11" t="e">
        <f>IF($L31="","",SUMIF(#REF!,$L31,#REF!))</f>
        <v>#REF!</v>
      </c>
      <c r="AF31" s="11"/>
      <c r="AG31" s="11" t="e">
        <f>IF($L31="","",SUMIF(#REF!,$L31,#REF!))</f>
        <v>#REF!</v>
      </c>
    </row>
    <row r="32" spans="1:33">
      <c r="A32" s="1" t="s">
        <v>167</v>
      </c>
      <c r="B32" s="1" t="s">
        <v>168</v>
      </c>
      <c r="C32" s="1" t="s">
        <v>16</v>
      </c>
      <c r="D32" t="str" cm="1">
        <f t="array" ref="D32">IFERROR(_xlfn.TEXTJOIN(", ",TRUE,_xlfn.UNIQUE(_xlfn._xlws.FILTER(#REF!,(#REF!="Final")*(COUNTIFS('[1]Demand Capacity'!$B:$B,$A32,'[1]Demand Capacity'!$A:$A,#REF!)&gt;0),""))),"")</f>
        <v/>
      </c>
      <c r="E32" s="1" t="s">
        <v>51</v>
      </c>
      <c r="F32" s="1" t="s">
        <v>118</v>
      </c>
      <c r="G32" s="1" t="s">
        <v>119</v>
      </c>
      <c r="H32" s="1"/>
      <c r="I32" s="1" t="s">
        <v>169</v>
      </c>
      <c r="J32" s="1" t="s">
        <v>59</v>
      </c>
      <c r="K32" s="1" t="s">
        <v>86</v>
      </c>
      <c r="L32" s="1" t="s">
        <v>170</v>
      </c>
      <c r="M32" s="11" t="e">
        <f>IF($L32="","",SUMIF(#REF!,$L32,#REF!))</f>
        <v>#REF!</v>
      </c>
      <c r="N32" s="11"/>
      <c r="O32" s="11" t="e">
        <f>IF($L32="","",SUMIF(#REF!,$L32,#REF!))</f>
        <v>#REF!</v>
      </c>
      <c r="P32" s="12" t="e">
        <f>IF($L32="","",SUMIF(#REF!,$L32,#REF!))</f>
        <v>#REF!</v>
      </c>
      <c r="Q32" s="12"/>
      <c r="R32" s="12" t="e">
        <f>IF($L32="","",SUMIF(#REF!,$L32,#REF!))</f>
        <v>#REF!</v>
      </c>
      <c r="S32" s="11" t="e">
        <f>IF($L32="","",SUMIF(#REF!,$L32,#REF!))</f>
        <v>#REF!</v>
      </c>
      <c r="T32" s="11"/>
      <c r="U32" s="11" t="e">
        <f>IF($L32="","",SUMIF(#REF!,$L32,#REF!))</f>
        <v>#REF!</v>
      </c>
      <c r="V32" s="12" t="e">
        <f>IF($L32="","",SUMIF(#REF!,$L32,#REF!))</f>
        <v>#REF!</v>
      </c>
      <c r="W32" s="12"/>
      <c r="X32" s="12" t="e">
        <f>IF($L32="","",SUMIF(#REF!,$L32,#REF!))</f>
        <v>#REF!</v>
      </c>
      <c r="Y32" s="11" t="e">
        <f>IF($L32="","",SUMIF(#REF!,$L32,#REF!))</f>
        <v>#REF!</v>
      </c>
      <c r="Z32" s="11"/>
      <c r="AA32" s="11" t="e">
        <f>IF($L32="","",SUMIF(#REF!,$L32,#REF!))</f>
        <v>#REF!</v>
      </c>
      <c r="AB32" s="12" t="e">
        <f>IF($L32="","",SUMIF(#REF!,$L32,#REF!))</f>
        <v>#REF!</v>
      </c>
      <c r="AC32" s="12"/>
      <c r="AD32" s="12" t="e">
        <f>IF($L32="","",SUMIF(#REF!,$L32,#REF!))</f>
        <v>#REF!</v>
      </c>
      <c r="AE32" s="11" t="e">
        <f>IF($L32="","",SUMIF(#REF!,$L32,#REF!))</f>
        <v>#REF!</v>
      </c>
      <c r="AF32" s="11"/>
      <c r="AG32" s="11" t="e">
        <f>IF($L32="","",SUMIF(#REF!,$L32,#REF!))</f>
        <v>#REF!</v>
      </c>
    </row>
    <row r="33" spans="1:33">
      <c r="A33" s="1" t="s">
        <v>171</v>
      </c>
      <c r="B33" s="1" t="s">
        <v>172</v>
      </c>
      <c r="C33" s="1" t="s">
        <v>16</v>
      </c>
      <c r="D33" t="str" cm="1">
        <f t="array" ref="D33">IFERROR(_xlfn.TEXTJOIN(", ",TRUE,_xlfn.UNIQUE(_xlfn._xlws.FILTER(#REF!,(#REF!="Final")*(COUNTIFS('[1]Demand Capacity'!$B:$B,$A33,'[1]Demand Capacity'!$A:$A,#REF!)&gt;0),""))),"")</f>
        <v/>
      </c>
      <c r="E33" s="1" t="s">
        <v>51</v>
      </c>
      <c r="F33" s="1" t="s">
        <v>55</v>
      </c>
      <c r="G33" s="1" t="s">
        <v>56</v>
      </c>
      <c r="H33" s="1" t="s">
        <v>113</v>
      </c>
      <c r="I33" s="1" t="s">
        <v>169</v>
      </c>
      <c r="J33" s="1" t="s">
        <v>59</v>
      </c>
      <c r="K33" s="1" t="s">
        <v>82</v>
      </c>
      <c r="L33" s="1" t="s">
        <v>173</v>
      </c>
      <c r="M33" s="11" t="e">
        <f>IF($L33="","",SUMIF(#REF!,$L33,#REF!))</f>
        <v>#REF!</v>
      </c>
      <c r="N33" s="11"/>
      <c r="O33" s="11" t="e">
        <f>IF($L33="","",SUMIF(#REF!,$L33,#REF!))</f>
        <v>#REF!</v>
      </c>
      <c r="P33" s="12" t="e">
        <f>IF($L33="","",SUMIF(#REF!,$L33,#REF!))</f>
        <v>#REF!</v>
      </c>
      <c r="Q33" s="12"/>
      <c r="R33" s="12" t="e">
        <f>IF($L33="","",SUMIF(#REF!,$L33,#REF!))</f>
        <v>#REF!</v>
      </c>
      <c r="S33" s="11" t="e">
        <f>IF($L33="","",SUMIF(#REF!,$L33,#REF!))</f>
        <v>#REF!</v>
      </c>
      <c r="T33" s="11"/>
      <c r="U33" s="11" t="e">
        <f>IF($L33="","",SUMIF(#REF!,$L33,#REF!))</f>
        <v>#REF!</v>
      </c>
      <c r="V33" s="12" t="e">
        <f>IF($L33="","",SUMIF(#REF!,$L33,#REF!))</f>
        <v>#REF!</v>
      </c>
      <c r="W33" s="12"/>
      <c r="X33" s="12" t="e">
        <f>IF($L33="","",SUMIF(#REF!,$L33,#REF!))</f>
        <v>#REF!</v>
      </c>
      <c r="Y33" s="11" t="e">
        <f>IF($L33="","",SUMIF(#REF!,$L33,#REF!))</f>
        <v>#REF!</v>
      </c>
      <c r="Z33" s="11"/>
      <c r="AA33" s="11" t="e">
        <f>IF($L33="","",SUMIF(#REF!,$L33,#REF!))</f>
        <v>#REF!</v>
      </c>
      <c r="AB33" s="12" t="e">
        <f>IF($L33="","",SUMIF(#REF!,$L33,#REF!))</f>
        <v>#REF!</v>
      </c>
      <c r="AC33" s="12"/>
      <c r="AD33" s="12" t="e">
        <f>IF($L33="","",SUMIF(#REF!,$L33,#REF!))</f>
        <v>#REF!</v>
      </c>
      <c r="AE33" s="11" t="e">
        <f>IF($L33="","",SUMIF(#REF!,$L33,#REF!))</f>
        <v>#REF!</v>
      </c>
      <c r="AF33" s="11"/>
      <c r="AG33" s="11" t="e">
        <f>IF($L33="","",SUMIF(#REF!,$L33,#REF!))</f>
        <v>#REF!</v>
      </c>
    </row>
    <row r="34" spans="1:33">
      <c r="A34" s="1" t="s">
        <v>174</v>
      </c>
      <c r="B34" s="1" t="s">
        <v>175</v>
      </c>
      <c r="C34" s="1" t="s">
        <v>16</v>
      </c>
      <c r="D34" t="str" cm="1">
        <f t="array" ref="D34">IFERROR(_xlfn.TEXTJOIN(", ",TRUE,_xlfn.UNIQUE(_xlfn._xlws.FILTER(#REF!,(#REF!="Final")*(COUNTIFS('[1]Demand Capacity'!$B:$B,$A34,'[1]Demand Capacity'!$A:$A,#REF!)&gt;0),""))),"")</f>
        <v/>
      </c>
      <c r="E34" s="1" t="s">
        <v>51</v>
      </c>
      <c r="F34" s="1" t="s">
        <v>55</v>
      </c>
      <c r="G34" s="1" t="s">
        <v>56</v>
      </c>
      <c r="H34" s="1" t="s">
        <v>176</v>
      </c>
      <c r="I34" s="1" t="s">
        <v>169</v>
      </c>
      <c r="J34" s="1" t="s">
        <v>59</v>
      </c>
      <c r="K34" s="1" t="s">
        <v>106</v>
      </c>
      <c r="L34" s="1" t="s">
        <v>177</v>
      </c>
      <c r="M34" s="11" t="e">
        <f>IF($L34="","",SUMIF(#REF!,$L34,#REF!))</f>
        <v>#REF!</v>
      </c>
      <c r="N34" s="11"/>
      <c r="O34" s="11" t="e">
        <f>IF($L34="","",SUMIF(#REF!,$L34,#REF!))</f>
        <v>#REF!</v>
      </c>
      <c r="P34" s="12" t="e">
        <f>IF($L34="","",SUMIF(#REF!,$L34,#REF!))</f>
        <v>#REF!</v>
      </c>
      <c r="Q34" s="12"/>
      <c r="R34" s="12" t="e">
        <f>IF($L34="","",SUMIF(#REF!,$L34,#REF!))</f>
        <v>#REF!</v>
      </c>
      <c r="S34" s="11" t="e">
        <f>IF($L34="","",SUMIF(#REF!,$L34,#REF!))</f>
        <v>#REF!</v>
      </c>
      <c r="T34" s="11"/>
      <c r="U34" s="11" t="e">
        <f>IF($L34="","",SUMIF(#REF!,$L34,#REF!))</f>
        <v>#REF!</v>
      </c>
      <c r="V34" s="12" t="e">
        <f>IF($L34="","",SUMIF(#REF!,$L34,#REF!))</f>
        <v>#REF!</v>
      </c>
      <c r="W34" s="12"/>
      <c r="X34" s="12" t="e">
        <f>IF($L34="","",SUMIF(#REF!,$L34,#REF!))</f>
        <v>#REF!</v>
      </c>
      <c r="Y34" s="11" t="e">
        <f>IF($L34="","",SUMIF(#REF!,$L34,#REF!))</f>
        <v>#REF!</v>
      </c>
      <c r="Z34" s="11"/>
      <c r="AA34" s="11" t="e">
        <f>IF($L34="","",SUMIF(#REF!,$L34,#REF!))</f>
        <v>#REF!</v>
      </c>
      <c r="AB34" s="12" t="e">
        <f>IF($L34="","",SUMIF(#REF!,$L34,#REF!))</f>
        <v>#REF!</v>
      </c>
      <c r="AC34" s="12"/>
      <c r="AD34" s="12" t="e">
        <f>IF($L34="","",SUMIF(#REF!,$L34,#REF!))</f>
        <v>#REF!</v>
      </c>
      <c r="AE34" s="11" t="e">
        <f>IF($L34="","",SUMIF(#REF!,$L34,#REF!))</f>
        <v>#REF!</v>
      </c>
      <c r="AF34" s="11"/>
      <c r="AG34" s="11" t="e">
        <f>IF($L34="","",SUMIF(#REF!,$L34,#REF!))</f>
        <v>#REF!</v>
      </c>
    </row>
    <row r="35" spans="1:33">
      <c r="A35" s="1" t="s">
        <v>178</v>
      </c>
      <c r="B35" s="1" t="s">
        <v>179</v>
      </c>
      <c r="C35" s="1" t="s">
        <v>16</v>
      </c>
      <c r="D35" t="str" cm="1">
        <f t="array" ref="D35">IFERROR(_xlfn.TEXTJOIN(", ",TRUE,_xlfn.UNIQUE(_xlfn._xlws.FILTER(#REF!,(#REF!="Final")*(COUNTIFS('[1]Demand Capacity'!$B:$B,$A35,'[1]Demand Capacity'!$A:$A,#REF!)&gt;0),""))),"")</f>
        <v/>
      </c>
      <c r="E35" s="1" t="s">
        <v>51</v>
      </c>
      <c r="F35" s="1" t="s">
        <v>55</v>
      </c>
      <c r="G35" s="1" t="s">
        <v>56</v>
      </c>
      <c r="H35" s="1" t="s">
        <v>113</v>
      </c>
      <c r="I35" s="1" t="s">
        <v>169</v>
      </c>
      <c r="J35" s="1" t="s">
        <v>59</v>
      </c>
      <c r="K35" s="1" t="s">
        <v>106</v>
      </c>
      <c r="L35" s="1" t="s">
        <v>180</v>
      </c>
      <c r="M35" s="11" t="e">
        <f>IF($L35="","",SUMIF(#REF!,$L35,#REF!))</f>
        <v>#REF!</v>
      </c>
      <c r="N35" s="11"/>
      <c r="O35" s="11" t="e">
        <f>IF($L35="","",SUMIF(#REF!,$L35,#REF!))</f>
        <v>#REF!</v>
      </c>
      <c r="P35" s="12" t="e">
        <f>IF($L35="","",SUMIF(#REF!,$L35,#REF!))</f>
        <v>#REF!</v>
      </c>
      <c r="Q35" s="12"/>
      <c r="R35" s="12" t="e">
        <f>IF($L35="","",SUMIF(#REF!,$L35,#REF!))</f>
        <v>#REF!</v>
      </c>
      <c r="S35" s="11" t="e">
        <f>IF($L35="","",SUMIF(#REF!,$L35,#REF!))</f>
        <v>#REF!</v>
      </c>
      <c r="T35" s="11"/>
      <c r="U35" s="11" t="e">
        <f>IF($L35="","",SUMIF(#REF!,$L35,#REF!))</f>
        <v>#REF!</v>
      </c>
      <c r="V35" s="12" t="e">
        <f>IF($L35="","",SUMIF(#REF!,$L35,#REF!))</f>
        <v>#REF!</v>
      </c>
      <c r="W35" s="12"/>
      <c r="X35" s="12" t="e">
        <f>IF($L35="","",SUMIF(#REF!,$L35,#REF!))</f>
        <v>#REF!</v>
      </c>
      <c r="Y35" s="11" t="e">
        <f>IF($L35="","",SUMIF(#REF!,$L35,#REF!))</f>
        <v>#REF!</v>
      </c>
      <c r="Z35" s="11"/>
      <c r="AA35" s="11" t="e">
        <f>IF($L35="","",SUMIF(#REF!,$L35,#REF!))</f>
        <v>#REF!</v>
      </c>
      <c r="AB35" s="12" t="e">
        <f>IF($L35="","",SUMIF(#REF!,$L35,#REF!))</f>
        <v>#REF!</v>
      </c>
      <c r="AC35" s="12"/>
      <c r="AD35" s="12" t="e">
        <f>IF($L35="","",SUMIF(#REF!,$L35,#REF!))</f>
        <v>#REF!</v>
      </c>
      <c r="AE35" s="11" t="e">
        <f>IF($L35="","",SUMIF(#REF!,$L35,#REF!))</f>
        <v>#REF!</v>
      </c>
      <c r="AF35" s="11"/>
      <c r="AG35" s="11" t="e">
        <f>IF($L35="","",SUMIF(#REF!,$L35,#REF!))</f>
        <v>#REF!</v>
      </c>
    </row>
    <row r="36" spans="1:33">
      <c r="A36" s="1" t="s">
        <v>181</v>
      </c>
      <c r="B36" s="1" t="s">
        <v>182</v>
      </c>
      <c r="C36" s="1" t="s">
        <v>16</v>
      </c>
      <c r="D36" t="str" cm="1">
        <f t="array" ref="D36">IFERROR(_xlfn.TEXTJOIN(", ",TRUE,_xlfn.UNIQUE(_xlfn._xlws.FILTER(#REF!,(#REF!="Final")*(COUNTIFS('[1]Demand Capacity'!$B:$B,$A36,'[1]Demand Capacity'!$A:$A,#REF!)&gt;0),""))),"")</f>
        <v/>
      </c>
      <c r="E36" s="1" t="s">
        <v>62</v>
      </c>
      <c r="F36" s="1" t="s">
        <v>55</v>
      </c>
      <c r="G36" s="1" t="s">
        <v>56</v>
      </c>
      <c r="H36" s="1" t="s">
        <v>183</v>
      </c>
      <c r="I36" s="1" t="s">
        <v>81</v>
      </c>
      <c r="J36" s="1" t="s">
        <v>76</v>
      </c>
      <c r="K36" s="1" t="s">
        <v>106</v>
      </c>
      <c r="L36" s="1" t="s">
        <v>184</v>
      </c>
      <c r="M36" s="11" t="e">
        <f>IF($L36="","",SUMIF(#REF!,$L36,#REF!))</f>
        <v>#REF!</v>
      </c>
      <c r="N36" s="11"/>
      <c r="O36" s="11" t="e">
        <f>IF($L36="","",SUMIF(#REF!,$L36,#REF!))</f>
        <v>#REF!</v>
      </c>
      <c r="P36" s="12" t="e">
        <f>IF($L36="","",SUMIF(#REF!,$L36,#REF!))</f>
        <v>#REF!</v>
      </c>
      <c r="Q36" s="12"/>
      <c r="R36" s="12" t="e">
        <f>IF($L36="","",SUMIF(#REF!,$L36,#REF!))</f>
        <v>#REF!</v>
      </c>
      <c r="S36" s="11" t="e">
        <f>IF($L36="","",SUMIF(#REF!,$L36,#REF!))</f>
        <v>#REF!</v>
      </c>
      <c r="T36" s="11"/>
      <c r="U36" s="11" t="e">
        <f>IF($L36="","",SUMIF(#REF!,$L36,#REF!))</f>
        <v>#REF!</v>
      </c>
      <c r="V36" s="12" t="e">
        <f>IF($L36="","",SUMIF(#REF!,$L36,#REF!))</f>
        <v>#REF!</v>
      </c>
      <c r="W36" s="12"/>
      <c r="X36" s="12" t="e">
        <f>IF($L36="","",SUMIF(#REF!,$L36,#REF!))</f>
        <v>#REF!</v>
      </c>
      <c r="Y36" s="11" t="e">
        <f>IF($L36="","",SUMIF(#REF!,$L36,#REF!))</f>
        <v>#REF!</v>
      </c>
      <c r="Z36" s="11"/>
      <c r="AA36" s="11" t="e">
        <f>IF($L36="","",SUMIF(#REF!,$L36,#REF!))</f>
        <v>#REF!</v>
      </c>
      <c r="AB36" s="12" t="e">
        <f>IF($L36="","",SUMIF(#REF!,$L36,#REF!))</f>
        <v>#REF!</v>
      </c>
      <c r="AC36" s="12"/>
      <c r="AD36" s="12" t="e">
        <f>IF($L36="","",SUMIF(#REF!,$L36,#REF!))</f>
        <v>#REF!</v>
      </c>
      <c r="AE36" s="11" t="e">
        <f>IF($L36="","",SUMIF(#REF!,$L36,#REF!))</f>
        <v>#REF!</v>
      </c>
      <c r="AF36" s="11"/>
      <c r="AG36" s="11" t="e">
        <f>IF($L36="","",SUMIF(#REF!,$L36,#REF!))</f>
        <v>#REF!</v>
      </c>
    </row>
    <row r="37" spans="1:33">
      <c r="A37" s="1" t="s">
        <v>185</v>
      </c>
      <c r="B37" s="1" t="s">
        <v>186</v>
      </c>
      <c r="C37" s="1" t="s">
        <v>17</v>
      </c>
      <c r="D37" t="str" cm="1">
        <f t="array" ref="D37">IFERROR(_xlfn.TEXTJOIN(", ",TRUE,_xlfn.UNIQUE(_xlfn._xlws.FILTER(#REF!,(#REF!="Final")*(COUNTIFS('[1]Demand Capacity'!$B:$B,$A37,'[1]Demand Capacity'!$A:$A,#REF!)&gt;0),""))),"")</f>
        <v/>
      </c>
      <c r="E37" s="1" t="s">
        <v>70</v>
      </c>
      <c r="F37" s="1" t="s">
        <v>55</v>
      </c>
      <c r="G37" s="1" t="s">
        <v>56</v>
      </c>
      <c r="H37" s="1" t="s">
        <v>187</v>
      </c>
      <c r="I37" s="1" t="s">
        <v>188</v>
      </c>
      <c r="J37" s="1" t="s">
        <v>59</v>
      </c>
      <c r="K37" s="1" t="s">
        <v>106</v>
      </c>
      <c r="L37" s="3"/>
      <c r="M37" s="11" t="str">
        <f>IF($L37="","",SUMIF(#REF!,$L37,#REF!))</f>
        <v/>
      </c>
      <c r="N37" s="11"/>
      <c r="O37" s="11" t="str">
        <f>IF($L37="","",SUMIF(#REF!,$L37,#REF!))</f>
        <v/>
      </c>
      <c r="P37" s="12" t="str">
        <f>IF($L37="","",SUMIF(#REF!,$L37,#REF!))</f>
        <v/>
      </c>
      <c r="Q37" s="12"/>
      <c r="R37" s="12" t="str">
        <f>IF($L37="","",SUMIF(#REF!,$L37,#REF!))</f>
        <v/>
      </c>
      <c r="S37" s="11" t="str">
        <f>IF($L37="","",SUMIF(#REF!,$L37,#REF!))</f>
        <v/>
      </c>
      <c r="T37" s="11"/>
      <c r="U37" s="11" t="str">
        <f>IF($L37="","",SUMIF(#REF!,$L37,#REF!))</f>
        <v/>
      </c>
      <c r="V37" s="12" t="str">
        <f>IF($L37="","",SUMIF(#REF!,$L37,#REF!))</f>
        <v/>
      </c>
      <c r="W37" s="12"/>
      <c r="X37" s="12" t="str">
        <f>IF($L37="","",SUMIF(#REF!,$L37,#REF!))</f>
        <v/>
      </c>
      <c r="Y37" s="11" t="str">
        <f>IF($L37="","",SUMIF(#REF!,$L37,#REF!))</f>
        <v/>
      </c>
      <c r="Z37" s="11"/>
      <c r="AA37" s="11" t="str">
        <f>IF($L37="","",SUMIF(#REF!,$L37,#REF!))</f>
        <v/>
      </c>
      <c r="AB37" s="12" t="str">
        <f>IF($L37="","",SUMIF(#REF!,$L37,#REF!))</f>
        <v/>
      </c>
      <c r="AC37" s="12"/>
      <c r="AD37" s="12" t="str">
        <f>IF($L37="","",SUMIF(#REF!,$L37,#REF!))</f>
        <v/>
      </c>
      <c r="AE37" s="11" t="str">
        <f>IF($L37="","",SUMIF(#REF!,$L37,#REF!))</f>
        <v/>
      </c>
      <c r="AF37" s="11"/>
      <c r="AG37" s="11" t="str">
        <f>IF($L37="","",SUMIF(#REF!,$L37,#REF!))</f>
        <v/>
      </c>
    </row>
    <row r="38" spans="1:33">
      <c r="A38" s="1" t="s">
        <v>189</v>
      </c>
      <c r="B38" s="1" t="s">
        <v>186</v>
      </c>
      <c r="C38" s="1" t="s">
        <v>17</v>
      </c>
      <c r="D38" t="str" cm="1">
        <f t="array" ref="D38">IFERROR(_xlfn.TEXTJOIN(", ",TRUE,_xlfn.UNIQUE(_xlfn._xlws.FILTER(#REF!,(#REF!="Final")*(COUNTIFS('[1]Demand Capacity'!$B:$B,$A38,'[1]Demand Capacity'!$A:$A,#REF!)&gt;0),""))),"")</f>
        <v/>
      </c>
      <c r="E38" s="1" t="s">
        <v>70</v>
      </c>
      <c r="F38" s="1" t="s">
        <v>55</v>
      </c>
      <c r="G38" s="1" t="s">
        <v>56</v>
      </c>
      <c r="H38" s="1" t="s">
        <v>190</v>
      </c>
      <c r="I38" s="1" t="s">
        <v>188</v>
      </c>
      <c r="J38" s="1" t="s">
        <v>59</v>
      </c>
      <c r="K38" s="1" t="s">
        <v>106</v>
      </c>
      <c r="L38" s="1" t="s">
        <v>191</v>
      </c>
      <c r="M38" s="11" t="e">
        <f>IF($L38="","",SUMIF(#REF!,$L38,#REF!))</f>
        <v>#REF!</v>
      </c>
      <c r="N38" s="11"/>
      <c r="O38" s="11" t="e">
        <f>IF($L38="","",SUMIF(#REF!,$L38,#REF!))</f>
        <v>#REF!</v>
      </c>
      <c r="P38" s="12" t="e">
        <f>IF($L38="","",SUMIF(#REF!,$L38,#REF!))</f>
        <v>#REF!</v>
      </c>
      <c r="Q38" s="12"/>
      <c r="R38" s="12" t="e">
        <f>IF($L38="","",SUMIF(#REF!,$L38,#REF!))</f>
        <v>#REF!</v>
      </c>
      <c r="S38" s="11" t="e">
        <f>IF($L38="","",SUMIF(#REF!,$L38,#REF!))</f>
        <v>#REF!</v>
      </c>
      <c r="T38" s="11"/>
      <c r="U38" s="11" t="e">
        <f>IF($L38="","",SUMIF(#REF!,$L38,#REF!))</f>
        <v>#REF!</v>
      </c>
      <c r="V38" s="12" t="e">
        <f>IF($L38="","",SUMIF(#REF!,$L38,#REF!))</f>
        <v>#REF!</v>
      </c>
      <c r="W38" s="12"/>
      <c r="X38" s="12" t="e">
        <f>IF($L38="","",SUMIF(#REF!,$L38,#REF!))</f>
        <v>#REF!</v>
      </c>
      <c r="Y38" s="11" t="e">
        <f>IF($L38="","",SUMIF(#REF!,$L38,#REF!))</f>
        <v>#REF!</v>
      </c>
      <c r="Z38" s="11"/>
      <c r="AA38" s="11" t="e">
        <f>IF($L38="","",SUMIF(#REF!,$L38,#REF!))</f>
        <v>#REF!</v>
      </c>
      <c r="AB38" s="12" t="e">
        <f>IF($L38="","",SUMIF(#REF!,$L38,#REF!))</f>
        <v>#REF!</v>
      </c>
      <c r="AC38" s="12"/>
      <c r="AD38" s="12" t="e">
        <f>IF($L38="","",SUMIF(#REF!,$L38,#REF!))</f>
        <v>#REF!</v>
      </c>
      <c r="AE38" s="11" t="e">
        <f>IF($L38="","",SUMIF(#REF!,$L38,#REF!))</f>
        <v>#REF!</v>
      </c>
      <c r="AF38" s="11"/>
      <c r="AG38" s="11" t="e">
        <f>IF($L38="","",SUMIF(#REF!,$L38,#REF!))</f>
        <v>#REF!</v>
      </c>
    </row>
    <row r="39" spans="1:33">
      <c r="A39" s="1" t="s">
        <v>192</v>
      </c>
      <c r="B39" s="1" t="s">
        <v>186</v>
      </c>
      <c r="C39" s="1" t="s">
        <v>17</v>
      </c>
      <c r="D39" t="str" cm="1">
        <f t="array" ref="D39">IFERROR(_xlfn.TEXTJOIN(", ",TRUE,_xlfn.UNIQUE(_xlfn._xlws.FILTER(#REF!,(#REF!="Final")*(COUNTIFS('[1]Demand Capacity'!$B:$B,$A39,'[1]Demand Capacity'!$A:$A,#REF!)&gt;0),""))),"")</f>
        <v/>
      </c>
      <c r="E39" s="1" t="s">
        <v>70</v>
      </c>
      <c r="F39" s="1" t="s">
        <v>55</v>
      </c>
      <c r="G39" s="1" t="s">
        <v>56</v>
      </c>
      <c r="H39" s="1" t="s">
        <v>193</v>
      </c>
      <c r="I39" s="1" t="s">
        <v>188</v>
      </c>
      <c r="J39" s="1" t="s">
        <v>59</v>
      </c>
      <c r="K39" s="1" t="s">
        <v>106</v>
      </c>
      <c r="L39" s="1"/>
      <c r="M39" s="11" t="str">
        <f>IF($L39="","",SUMIF(#REF!,$L39,#REF!))</f>
        <v/>
      </c>
      <c r="N39" s="11"/>
      <c r="O39" s="11" t="str">
        <f>IF($L39="","",SUMIF(#REF!,$L39,#REF!))</f>
        <v/>
      </c>
      <c r="P39" s="12" t="str">
        <f>IF($L39="","",SUMIF(#REF!,$L39,#REF!))</f>
        <v/>
      </c>
      <c r="Q39" s="12"/>
      <c r="R39" s="12" t="str">
        <f>IF($L39="","",SUMIF(#REF!,$L39,#REF!))</f>
        <v/>
      </c>
      <c r="S39" s="11" t="str">
        <f>IF($L39="","",SUMIF(#REF!,$L39,#REF!))</f>
        <v/>
      </c>
      <c r="T39" s="11"/>
      <c r="U39" s="11" t="str">
        <f>IF($L39="","",SUMIF(#REF!,$L39,#REF!))</f>
        <v/>
      </c>
      <c r="V39" s="12" t="str">
        <f>IF($L39="","",SUMIF(#REF!,$L39,#REF!))</f>
        <v/>
      </c>
      <c r="W39" s="12"/>
      <c r="X39" s="12" t="str">
        <f>IF($L39="","",SUMIF(#REF!,$L39,#REF!))</f>
        <v/>
      </c>
      <c r="Y39" s="11" t="str">
        <f>IF($L39="","",SUMIF(#REF!,$L39,#REF!))</f>
        <v/>
      </c>
      <c r="Z39" s="11"/>
      <c r="AA39" s="11" t="str">
        <f>IF($L39="","",SUMIF(#REF!,$L39,#REF!))</f>
        <v/>
      </c>
      <c r="AB39" s="12" t="str">
        <f>IF($L39="","",SUMIF(#REF!,$L39,#REF!))</f>
        <v/>
      </c>
      <c r="AC39" s="12"/>
      <c r="AD39" s="12" t="str">
        <f>IF($L39="","",SUMIF(#REF!,$L39,#REF!))</f>
        <v/>
      </c>
      <c r="AE39" s="11" t="str">
        <f>IF($L39="","",SUMIF(#REF!,$L39,#REF!))</f>
        <v/>
      </c>
      <c r="AF39" s="11"/>
      <c r="AG39" s="11" t="str">
        <f>IF($L39="","",SUMIF(#REF!,$L39,#REF!))</f>
        <v/>
      </c>
    </row>
    <row r="40" spans="1:33">
      <c r="L40" s="3" t="s">
        <v>194</v>
      </c>
      <c r="M40" s="11" t="e">
        <f>IF($L40="","",SUMIF(#REF!,$L40,#REF!))</f>
        <v>#REF!</v>
      </c>
      <c r="N40" s="11"/>
      <c r="O40" s="11" t="e">
        <f>IF($L40="","",SUMIF(#REF!,$L40,#REF!))</f>
        <v>#REF!</v>
      </c>
      <c r="P40" s="12" t="e">
        <f>IF($L40="","",SUMIF(#REF!,$L40,#REF!))</f>
        <v>#REF!</v>
      </c>
      <c r="Q40" s="12"/>
      <c r="R40" s="12" t="e">
        <f>IF($L40="","",SUMIF(#REF!,$L40,#REF!))</f>
        <v>#REF!</v>
      </c>
      <c r="S40" s="11" t="e">
        <f>IF($L40="","",SUMIF(#REF!,$L40,#REF!))</f>
        <v>#REF!</v>
      </c>
      <c r="T40" s="11"/>
      <c r="U40" s="11" t="e">
        <f>IF($L40="","",SUMIF(#REF!,$L40,#REF!))</f>
        <v>#REF!</v>
      </c>
      <c r="V40" s="12" t="e">
        <f>IF($L40="","",SUMIF(#REF!,$L40,#REF!))</f>
        <v>#REF!</v>
      </c>
      <c r="W40" s="12"/>
      <c r="X40" s="12" t="e">
        <f>IF($L40="","",SUMIF(#REF!,$L40,#REF!))</f>
        <v>#REF!</v>
      </c>
      <c r="Y40" s="11" t="e">
        <f>IF($L40="","",SUMIF(#REF!,$L40,#REF!))</f>
        <v>#REF!</v>
      </c>
      <c r="Z40" s="11"/>
      <c r="AA40" s="11" t="e">
        <f>IF($L40="","",SUMIF(#REF!,$L40,#REF!))</f>
        <v>#REF!</v>
      </c>
      <c r="AB40" s="12" t="e">
        <f>IF($L40="","",SUMIF(#REF!,$L40,#REF!))</f>
        <v>#REF!</v>
      </c>
      <c r="AC40" s="12"/>
      <c r="AD40" s="12" t="e">
        <f>IF($L40="","",SUMIF(#REF!,$L40,#REF!))</f>
        <v>#REF!</v>
      </c>
      <c r="AE40" s="11" t="e">
        <f>IF($L40="","",SUMIF(#REF!,$L40,#REF!))</f>
        <v>#REF!</v>
      </c>
      <c r="AF40" s="11"/>
      <c r="AG40" s="11" t="e">
        <f>IF($L40="","",SUMIF(#REF!,$L40,#REF!))</f>
        <v>#REF!</v>
      </c>
    </row>
    <row r="41" spans="1:33">
      <c r="L41" t="s">
        <v>195</v>
      </c>
      <c r="M41" s="11" t="e">
        <f>IF($L41="","",SUMIF(#REF!,$L41,#REF!))</f>
        <v>#REF!</v>
      </c>
      <c r="N41" s="11"/>
      <c r="O41" s="11" t="e">
        <f>IF($L41="","",SUMIF(#REF!,$L41,#REF!))</f>
        <v>#REF!</v>
      </c>
      <c r="P41" s="12" t="e">
        <f>IF($L41="","",SUMIF(#REF!,$L41,#REF!))</f>
        <v>#REF!</v>
      </c>
      <c r="Q41" s="12"/>
      <c r="R41" s="12" t="e">
        <f>IF($L41="","",SUMIF(#REF!,$L41,#REF!))</f>
        <v>#REF!</v>
      </c>
      <c r="S41" s="11" t="e">
        <f>IF($L41="","",SUMIF(#REF!,$L41,#REF!))</f>
        <v>#REF!</v>
      </c>
      <c r="T41" s="11"/>
      <c r="U41" s="11" t="e">
        <f>IF($L41="","",SUMIF(#REF!,$L41,#REF!))</f>
        <v>#REF!</v>
      </c>
      <c r="V41" s="12" t="e">
        <f>IF($L41="","",SUMIF(#REF!,$L41,#REF!))</f>
        <v>#REF!</v>
      </c>
      <c r="W41" s="12"/>
      <c r="X41" s="12" t="e">
        <f>IF($L41="","",SUMIF(#REF!,$L41,#REF!))</f>
        <v>#REF!</v>
      </c>
      <c r="Y41" s="11" t="e">
        <f>IF($L41="","",SUMIF(#REF!,$L41,#REF!))</f>
        <v>#REF!</v>
      </c>
      <c r="Z41" s="11"/>
      <c r="AA41" s="11" t="e">
        <f>IF($L41="","",SUMIF(#REF!,$L41,#REF!))</f>
        <v>#REF!</v>
      </c>
      <c r="AB41" s="12" t="e">
        <f>IF($L41="","",SUMIF(#REF!,$L41,#REF!))</f>
        <v>#REF!</v>
      </c>
      <c r="AC41" s="12"/>
      <c r="AD41" s="12" t="e">
        <f>IF($L41="","",SUMIF(#REF!,$L41,#REF!))</f>
        <v>#REF!</v>
      </c>
      <c r="AE41" s="11" t="e">
        <f>IF($L41="","",SUMIF(#REF!,$L41,#REF!))</f>
        <v>#REF!</v>
      </c>
      <c r="AF41" s="11"/>
      <c r="AG41" s="11" t="e">
        <f>IF($L41="","",SUMIF(#REF!,$L41,#REF!))</f>
        <v>#REF!</v>
      </c>
    </row>
    <row r="42" spans="1:33">
      <c r="L42" t="s">
        <v>196</v>
      </c>
      <c r="M42" s="11" t="e">
        <f>IF($L42="","",SUMIF(#REF!,$L42,#REF!))</f>
        <v>#REF!</v>
      </c>
      <c r="N42" s="11"/>
      <c r="O42" s="11" t="e">
        <f>IF($L42="","",SUMIF(#REF!,$L42,#REF!))</f>
        <v>#REF!</v>
      </c>
      <c r="P42" s="12" t="e">
        <f>IF($L42="","",SUMIF(#REF!,$L42,#REF!))</f>
        <v>#REF!</v>
      </c>
      <c r="Q42" s="12"/>
      <c r="R42" s="12" t="e">
        <f>IF($L42="","",SUMIF(#REF!,$L42,#REF!))</f>
        <v>#REF!</v>
      </c>
      <c r="S42" s="11" t="e">
        <f>IF($L42="","",SUMIF(#REF!,$L42,#REF!))</f>
        <v>#REF!</v>
      </c>
      <c r="T42" s="11"/>
      <c r="U42" s="11" t="e">
        <f>IF($L42="","",SUMIF(#REF!,$L42,#REF!))</f>
        <v>#REF!</v>
      </c>
      <c r="V42" s="12" t="e">
        <f>IF($L42="","",SUMIF(#REF!,$L42,#REF!))</f>
        <v>#REF!</v>
      </c>
      <c r="W42" s="12"/>
      <c r="X42" s="12" t="e">
        <f>IF($L42="","",SUMIF(#REF!,$L42,#REF!))</f>
        <v>#REF!</v>
      </c>
      <c r="Y42" s="11" t="e">
        <f>IF($L42="","",SUMIF(#REF!,$L42,#REF!))</f>
        <v>#REF!</v>
      </c>
      <c r="Z42" s="11"/>
      <c r="AA42" s="11" t="e">
        <f>IF($L42="","",SUMIF(#REF!,$L42,#REF!))</f>
        <v>#REF!</v>
      </c>
      <c r="AB42" s="12" t="e">
        <f>IF($L42="","",SUMIF(#REF!,$L42,#REF!))</f>
        <v>#REF!</v>
      </c>
      <c r="AC42" s="12"/>
      <c r="AD42" s="12" t="e">
        <f>IF($L42="","",SUMIF(#REF!,$L42,#REF!))</f>
        <v>#REF!</v>
      </c>
      <c r="AE42" s="11" t="e">
        <f>IF($L42="","",SUMIF(#REF!,$L42,#REF!))</f>
        <v>#REF!</v>
      </c>
      <c r="AF42" s="11"/>
      <c r="AG42" s="11" t="e">
        <f>IF($L42="","",SUMIF(#REF!,$L42,#REF!))</f>
        <v>#REF!</v>
      </c>
    </row>
    <row r="43" spans="1:33">
      <c r="L43" t="s">
        <v>197</v>
      </c>
      <c r="M43" s="11" t="e">
        <f>IF($L43="","",SUMIF(#REF!,$L43,#REF!))</f>
        <v>#REF!</v>
      </c>
      <c r="N43" s="11"/>
      <c r="O43" s="11" t="e">
        <f>IF($L43="","",SUMIF(#REF!,$L43,#REF!))</f>
        <v>#REF!</v>
      </c>
      <c r="P43" s="12" t="e">
        <f>IF($L43="","",SUMIF(#REF!,$L43,#REF!))</f>
        <v>#REF!</v>
      </c>
      <c r="Q43" s="12"/>
      <c r="R43" s="12" t="e">
        <f>IF($L43="","",SUMIF(#REF!,$L43,#REF!))</f>
        <v>#REF!</v>
      </c>
      <c r="S43" s="11" t="e">
        <f>IF($L43="","",SUMIF(#REF!,$L43,#REF!))</f>
        <v>#REF!</v>
      </c>
      <c r="T43" s="11"/>
      <c r="U43" s="11" t="e">
        <f>IF($L43="","",SUMIF(#REF!,$L43,#REF!))</f>
        <v>#REF!</v>
      </c>
      <c r="V43" s="12" t="e">
        <f>IF($L43="","",SUMIF(#REF!,$L43,#REF!))</f>
        <v>#REF!</v>
      </c>
      <c r="W43" s="12"/>
      <c r="X43" s="12" t="e">
        <f>IF($L43="","",SUMIF(#REF!,$L43,#REF!))</f>
        <v>#REF!</v>
      </c>
      <c r="Y43" s="11" t="e">
        <f>IF($L43="","",SUMIF(#REF!,$L43,#REF!))</f>
        <v>#REF!</v>
      </c>
      <c r="Z43" s="11"/>
      <c r="AA43" s="11" t="e">
        <f>IF($L43="","",SUMIF(#REF!,$L43,#REF!))</f>
        <v>#REF!</v>
      </c>
      <c r="AB43" s="12" t="e">
        <f>IF($L43="","",SUMIF(#REF!,$L43,#REF!))</f>
        <v>#REF!</v>
      </c>
      <c r="AC43" s="12"/>
      <c r="AD43" s="12" t="e">
        <f>IF($L43="","",SUMIF(#REF!,$L43,#REF!))</f>
        <v>#REF!</v>
      </c>
      <c r="AE43" s="11" t="e">
        <f>IF($L43="","",SUMIF(#REF!,$L43,#REF!))</f>
        <v>#REF!</v>
      </c>
      <c r="AF43" s="11"/>
      <c r="AG43" s="11" t="e">
        <f>IF($L43="","",SUMIF(#REF!,$L43,#REF!))</f>
        <v>#REF!</v>
      </c>
    </row>
    <row r="44" spans="1:33">
      <c r="L44" t="s">
        <v>198</v>
      </c>
      <c r="M44" s="11" t="e">
        <f>IF($L44="","",SUMIF(#REF!,$L44,#REF!))</f>
        <v>#REF!</v>
      </c>
      <c r="N44" s="11"/>
      <c r="O44" s="11" t="e">
        <f>IF($L44="","",SUMIF(#REF!,$L44,#REF!))</f>
        <v>#REF!</v>
      </c>
      <c r="P44" s="12" t="e">
        <f>IF($L44="","",SUMIF(#REF!,$L44,#REF!))</f>
        <v>#REF!</v>
      </c>
      <c r="Q44" s="12"/>
      <c r="R44" s="12" t="e">
        <f>IF($L44="","",SUMIF(#REF!,$L44,#REF!))</f>
        <v>#REF!</v>
      </c>
      <c r="S44" s="11" t="e">
        <f>IF($L44="","",SUMIF(#REF!,$L44,#REF!))</f>
        <v>#REF!</v>
      </c>
      <c r="T44" s="11"/>
      <c r="U44" s="11" t="e">
        <f>IF($L44="","",SUMIF(#REF!,$L44,#REF!))</f>
        <v>#REF!</v>
      </c>
      <c r="V44" s="12" t="e">
        <f>IF($L44="","",SUMIF(#REF!,$L44,#REF!))</f>
        <v>#REF!</v>
      </c>
      <c r="W44" s="12"/>
      <c r="X44" s="12" t="e">
        <f>IF($L44="","",SUMIF(#REF!,$L44,#REF!))</f>
        <v>#REF!</v>
      </c>
      <c r="Y44" s="11" t="e">
        <f>IF($L44="","",SUMIF(#REF!,$L44,#REF!))</f>
        <v>#REF!</v>
      </c>
      <c r="Z44" s="11"/>
      <c r="AA44" s="11" t="e">
        <f>IF($L44="","",SUMIF(#REF!,$L44,#REF!))</f>
        <v>#REF!</v>
      </c>
      <c r="AB44" s="12" t="e">
        <f>IF($L44="","",SUMIF(#REF!,$L44,#REF!))</f>
        <v>#REF!</v>
      </c>
      <c r="AC44" s="12"/>
      <c r="AD44" s="12" t="e">
        <f>IF($L44="","",SUMIF(#REF!,$L44,#REF!))</f>
        <v>#REF!</v>
      </c>
      <c r="AE44" s="11" t="e">
        <f>IF($L44="","",SUMIF(#REF!,$L44,#REF!))</f>
        <v>#REF!</v>
      </c>
      <c r="AF44" s="11"/>
      <c r="AG44" s="11" t="e">
        <f>IF($L44="","",SUMIF(#REF!,$L44,#REF!))</f>
        <v>#REF!</v>
      </c>
    </row>
    <row r="45" spans="1:33">
      <c r="L45" t="s">
        <v>199</v>
      </c>
      <c r="M45" s="11" t="e">
        <f>IF($L45="","",SUMIF(#REF!,$L45,#REF!))</f>
        <v>#REF!</v>
      </c>
      <c r="N45" s="11"/>
      <c r="O45" s="11" t="e">
        <f>IF($L45="","",SUMIF(#REF!,$L45,#REF!))</f>
        <v>#REF!</v>
      </c>
      <c r="P45" s="12" t="e">
        <f>IF($L45="","",SUMIF(#REF!,$L45,#REF!))</f>
        <v>#REF!</v>
      </c>
      <c r="Q45" s="12"/>
      <c r="R45" s="12" t="e">
        <f>IF($L45="","",SUMIF(#REF!,$L45,#REF!))</f>
        <v>#REF!</v>
      </c>
      <c r="S45" s="11" t="e">
        <f>IF($L45="","",SUMIF(#REF!,$L45,#REF!))</f>
        <v>#REF!</v>
      </c>
      <c r="T45" s="11"/>
      <c r="U45" s="11" t="e">
        <f>IF($L45="","",SUMIF(#REF!,$L45,#REF!))</f>
        <v>#REF!</v>
      </c>
      <c r="V45" s="12" t="e">
        <f>IF($L45="","",SUMIF(#REF!,$L45,#REF!))</f>
        <v>#REF!</v>
      </c>
      <c r="W45" s="12"/>
      <c r="X45" s="12" t="e">
        <f>IF($L45="","",SUMIF(#REF!,$L45,#REF!))</f>
        <v>#REF!</v>
      </c>
      <c r="Y45" s="11" t="e">
        <f>IF($L45="","",SUMIF(#REF!,$L45,#REF!))</f>
        <v>#REF!</v>
      </c>
      <c r="Z45" s="11"/>
      <c r="AA45" s="11" t="e">
        <f>IF($L45="","",SUMIF(#REF!,$L45,#REF!))</f>
        <v>#REF!</v>
      </c>
      <c r="AB45" s="12" t="e">
        <f>IF($L45="","",SUMIF(#REF!,$L45,#REF!))</f>
        <v>#REF!</v>
      </c>
      <c r="AC45" s="12"/>
      <c r="AD45" s="12" t="e">
        <f>IF($L45="","",SUMIF(#REF!,$L45,#REF!))</f>
        <v>#REF!</v>
      </c>
      <c r="AE45" s="11" t="e">
        <f>IF($L45="","",SUMIF(#REF!,$L45,#REF!))</f>
        <v>#REF!</v>
      </c>
      <c r="AF45" s="11"/>
      <c r="AG45" s="11" t="e">
        <f>IF($L45="","",SUMIF(#REF!,$L45,#REF!))</f>
        <v>#REF!</v>
      </c>
    </row>
    <row r="46" spans="1:33">
      <c r="L46" s="3" t="s">
        <v>200</v>
      </c>
      <c r="M46" s="11" t="e">
        <f>IF($L46="","",SUMIF(#REF!,$L46,#REF!))</f>
        <v>#REF!</v>
      </c>
      <c r="N46" s="11"/>
      <c r="O46" s="11" t="e">
        <f>IF($L46="","",SUMIF(#REF!,$L46,#REF!))</f>
        <v>#REF!</v>
      </c>
      <c r="P46" s="12" t="e">
        <f>IF($L46="","",SUMIF(#REF!,$L46,#REF!))</f>
        <v>#REF!</v>
      </c>
      <c r="Q46" s="12"/>
      <c r="R46" s="12" t="e">
        <f>IF($L46="","",SUMIF(#REF!,$L46,#REF!))</f>
        <v>#REF!</v>
      </c>
      <c r="S46" s="11" t="e">
        <f>IF($L46="","",SUMIF(#REF!,$L46,#REF!))</f>
        <v>#REF!</v>
      </c>
      <c r="T46" s="11"/>
      <c r="U46" s="11" t="e">
        <f>IF($L46="","",SUMIF(#REF!,$L46,#REF!))</f>
        <v>#REF!</v>
      </c>
      <c r="V46" s="12" t="e">
        <f>IF($L46="","",SUMIF(#REF!,$L46,#REF!))</f>
        <v>#REF!</v>
      </c>
      <c r="W46" s="12"/>
      <c r="X46" s="12" t="e">
        <f>IF($L46="","",SUMIF(#REF!,$L46,#REF!))</f>
        <v>#REF!</v>
      </c>
      <c r="Y46" s="11" t="e">
        <f>IF($L46="","",SUMIF(#REF!,$L46,#REF!))</f>
        <v>#REF!</v>
      </c>
      <c r="Z46" s="11"/>
      <c r="AA46" s="11" t="e">
        <f>IF($L46="","",SUMIF(#REF!,$L46,#REF!))</f>
        <v>#REF!</v>
      </c>
      <c r="AB46" s="12" t="e">
        <f>IF($L46="","",SUMIF(#REF!,$L46,#REF!))</f>
        <v>#REF!</v>
      </c>
      <c r="AC46" s="12"/>
      <c r="AD46" s="12" t="e">
        <f>IF($L46="","",SUMIF(#REF!,$L46,#REF!))</f>
        <v>#REF!</v>
      </c>
      <c r="AE46" s="11" t="e">
        <f>IF($L46="","",SUMIF(#REF!,$L46,#REF!))</f>
        <v>#REF!</v>
      </c>
      <c r="AF46" s="11"/>
      <c r="AG46" s="11" t="e">
        <f>IF($L46="","",SUMIF(#REF!,$L46,#REF!))</f>
        <v>#REF!</v>
      </c>
    </row>
    <row r="47" spans="1:33">
      <c r="L47" t="s">
        <v>201</v>
      </c>
      <c r="M47" s="11" t="e">
        <f>IF($L47="","",SUMIF(#REF!,$L47,#REF!))</f>
        <v>#REF!</v>
      </c>
      <c r="N47" s="11"/>
      <c r="O47" s="11" t="e">
        <f>IF($L47="","",SUMIF(#REF!,$L47,#REF!))</f>
        <v>#REF!</v>
      </c>
      <c r="P47" s="12" t="e">
        <f>IF($L47="","",SUMIF(#REF!,$L47,#REF!))</f>
        <v>#REF!</v>
      </c>
      <c r="Q47" s="12"/>
      <c r="R47" s="12" t="e">
        <f>IF($L47="","",SUMIF(#REF!,$L47,#REF!))</f>
        <v>#REF!</v>
      </c>
      <c r="S47" s="11" t="e">
        <f>IF($L47="","",SUMIF(#REF!,$L47,#REF!))</f>
        <v>#REF!</v>
      </c>
      <c r="T47" s="11"/>
      <c r="U47" s="11" t="e">
        <f>IF($L47="","",SUMIF(#REF!,$L47,#REF!))</f>
        <v>#REF!</v>
      </c>
      <c r="V47" s="12" t="e">
        <f>IF($L47="","",SUMIF(#REF!,$L47,#REF!))</f>
        <v>#REF!</v>
      </c>
      <c r="W47" s="12"/>
      <c r="X47" s="12" t="e">
        <f>IF($L47="","",SUMIF(#REF!,$L47,#REF!))</f>
        <v>#REF!</v>
      </c>
      <c r="Y47" s="11" t="e">
        <f>IF($L47="","",SUMIF(#REF!,$L47,#REF!))</f>
        <v>#REF!</v>
      </c>
      <c r="Z47" s="11"/>
      <c r="AA47" s="11" t="e">
        <f>IF($L47="","",SUMIF(#REF!,$L47,#REF!))</f>
        <v>#REF!</v>
      </c>
      <c r="AB47" s="12" t="e">
        <f>IF($L47="","",SUMIF(#REF!,$L47,#REF!))</f>
        <v>#REF!</v>
      </c>
      <c r="AC47" s="12"/>
      <c r="AD47" s="12" t="e">
        <f>IF($L47="","",SUMIF(#REF!,$L47,#REF!))</f>
        <v>#REF!</v>
      </c>
      <c r="AE47" s="11" t="e">
        <f>IF($L47="","",SUMIF(#REF!,$L47,#REF!))</f>
        <v>#REF!</v>
      </c>
      <c r="AF47" s="11"/>
      <c r="AG47" s="11" t="e">
        <f>IF($L47="","",SUMIF(#REF!,$L47,#REF!))</f>
        <v>#REF!</v>
      </c>
    </row>
    <row r="48" spans="1:33">
      <c r="L48" t="s">
        <v>202</v>
      </c>
      <c r="M48" s="11" t="e">
        <f>IF($L48="","",SUMIF(#REF!,$L48,#REF!))</f>
        <v>#REF!</v>
      </c>
      <c r="N48" s="11"/>
      <c r="O48" s="11" t="e">
        <f>IF($L48="","",SUMIF(#REF!,$L48,#REF!))</f>
        <v>#REF!</v>
      </c>
      <c r="P48" s="12" t="e">
        <f>IF($L48="","",SUMIF(#REF!,$L48,#REF!))</f>
        <v>#REF!</v>
      </c>
      <c r="Q48" s="12"/>
      <c r="R48" s="12" t="e">
        <f>IF($L48="","",SUMIF(#REF!,$L48,#REF!))</f>
        <v>#REF!</v>
      </c>
      <c r="S48" s="11" t="e">
        <f>IF($L48="","",SUMIF(#REF!,$L48,#REF!))</f>
        <v>#REF!</v>
      </c>
      <c r="T48" s="11"/>
      <c r="U48" s="11" t="e">
        <f>IF($L48="","",SUMIF(#REF!,$L48,#REF!))</f>
        <v>#REF!</v>
      </c>
      <c r="V48" s="12" t="e">
        <f>IF($L48="","",SUMIF(#REF!,$L48,#REF!))</f>
        <v>#REF!</v>
      </c>
      <c r="W48" s="12"/>
      <c r="X48" s="12" t="e">
        <f>IF($L48="","",SUMIF(#REF!,$L48,#REF!))</f>
        <v>#REF!</v>
      </c>
      <c r="Y48" s="11" t="e">
        <f>IF($L48="","",SUMIF(#REF!,$L48,#REF!))</f>
        <v>#REF!</v>
      </c>
      <c r="Z48" s="11"/>
      <c r="AA48" s="11" t="e">
        <f>IF($L48="","",SUMIF(#REF!,$L48,#REF!))</f>
        <v>#REF!</v>
      </c>
      <c r="AB48" s="12" t="e">
        <f>IF($L48="","",SUMIF(#REF!,$L48,#REF!))</f>
        <v>#REF!</v>
      </c>
      <c r="AC48" s="12"/>
      <c r="AD48" s="12" t="e">
        <f>IF($L48="","",SUMIF(#REF!,$L48,#REF!))</f>
        <v>#REF!</v>
      </c>
      <c r="AE48" s="11" t="e">
        <f>IF($L48="","",SUMIF(#REF!,$L48,#REF!))</f>
        <v>#REF!</v>
      </c>
      <c r="AF48" s="11"/>
      <c r="AG48" s="11" t="e">
        <f>IF($L48="","",SUMIF(#REF!,$L48,#REF!))</f>
        <v>#REF!</v>
      </c>
    </row>
    <row r="49" spans="12:33">
      <c r="L49" t="s">
        <v>203</v>
      </c>
      <c r="M49" s="11" t="e">
        <f>IF($L49="","",SUMIF(#REF!,$L49,#REF!))</f>
        <v>#REF!</v>
      </c>
      <c r="N49" s="11"/>
      <c r="O49" s="11" t="e">
        <f>IF($L49="","",SUMIF(#REF!,$L49,#REF!))</f>
        <v>#REF!</v>
      </c>
      <c r="P49" s="12" t="e">
        <f>IF($L49="","",SUMIF(#REF!,$L49,#REF!))</f>
        <v>#REF!</v>
      </c>
      <c r="Q49" s="12"/>
      <c r="R49" s="12" t="e">
        <f>IF($L49="","",SUMIF(#REF!,$L49,#REF!))</f>
        <v>#REF!</v>
      </c>
      <c r="S49" s="11" t="e">
        <f>IF($L49="","",SUMIF(#REF!,$L49,#REF!))</f>
        <v>#REF!</v>
      </c>
      <c r="T49" s="11"/>
      <c r="U49" s="11" t="e">
        <f>IF($L49="","",SUMIF(#REF!,$L49,#REF!))</f>
        <v>#REF!</v>
      </c>
      <c r="V49" s="12" t="e">
        <f>IF($L49="","",SUMIF(#REF!,$L49,#REF!))</f>
        <v>#REF!</v>
      </c>
      <c r="W49" s="12"/>
      <c r="X49" s="12" t="e">
        <f>IF($L49="","",SUMIF(#REF!,$L49,#REF!))</f>
        <v>#REF!</v>
      </c>
      <c r="Y49" s="11" t="e">
        <f>IF($L49="","",SUMIF(#REF!,$L49,#REF!))</f>
        <v>#REF!</v>
      </c>
      <c r="Z49" s="11"/>
      <c r="AA49" s="11" t="e">
        <f>IF($L49="","",SUMIF(#REF!,$L49,#REF!))</f>
        <v>#REF!</v>
      </c>
      <c r="AB49" s="12" t="e">
        <f>IF($L49="","",SUMIF(#REF!,$L49,#REF!))</f>
        <v>#REF!</v>
      </c>
      <c r="AC49" s="12"/>
      <c r="AD49" s="12" t="e">
        <f>IF($L49="","",SUMIF(#REF!,$L49,#REF!))</f>
        <v>#REF!</v>
      </c>
      <c r="AE49" s="11" t="e">
        <f>IF($L49="","",SUMIF(#REF!,$L49,#REF!))</f>
        <v>#REF!</v>
      </c>
      <c r="AF49" s="11"/>
      <c r="AG49" s="11" t="e">
        <f>IF($L49="","",SUMIF(#REF!,$L49,#REF!))</f>
        <v>#REF!</v>
      </c>
    </row>
    <row r="50" spans="12:33">
      <c r="L50" t="s">
        <v>204</v>
      </c>
      <c r="M50" s="11" t="e">
        <f>IF($L50="","",SUMIF(#REF!,$L50,#REF!))</f>
        <v>#REF!</v>
      </c>
      <c r="N50" s="11"/>
      <c r="O50" s="11" t="e">
        <f>IF($L50="","",SUMIF(#REF!,$L50,#REF!))</f>
        <v>#REF!</v>
      </c>
      <c r="P50" s="12" t="e">
        <f>IF($L50="","",SUMIF(#REF!,$L50,#REF!))</f>
        <v>#REF!</v>
      </c>
      <c r="Q50" s="12"/>
      <c r="R50" s="12" t="e">
        <f>IF($L50="","",SUMIF(#REF!,$L50,#REF!))</f>
        <v>#REF!</v>
      </c>
      <c r="S50" s="11" t="e">
        <f>IF($L50="","",SUMIF(#REF!,$L50,#REF!))</f>
        <v>#REF!</v>
      </c>
      <c r="T50" s="11"/>
      <c r="U50" s="11" t="e">
        <f>IF($L50="","",SUMIF(#REF!,$L50,#REF!))</f>
        <v>#REF!</v>
      </c>
      <c r="V50" s="12" t="e">
        <f>IF($L50="","",SUMIF(#REF!,$L50,#REF!))</f>
        <v>#REF!</v>
      </c>
      <c r="W50" s="12"/>
      <c r="X50" s="12" t="e">
        <f>IF($L50="","",SUMIF(#REF!,$L50,#REF!))</f>
        <v>#REF!</v>
      </c>
      <c r="Y50" s="11" t="e">
        <f>IF($L50="","",SUMIF(#REF!,$L50,#REF!))</f>
        <v>#REF!</v>
      </c>
      <c r="Z50" s="11"/>
      <c r="AA50" s="11" t="e">
        <f>IF($L50="","",SUMIF(#REF!,$L50,#REF!))</f>
        <v>#REF!</v>
      </c>
      <c r="AB50" s="12" t="e">
        <f>IF($L50="","",SUMIF(#REF!,$L50,#REF!))</f>
        <v>#REF!</v>
      </c>
      <c r="AC50" s="12"/>
      <c r="AD50" s="12" t="e">
        <f>IF($L50="","",SUMIF(#REF!,$L50,#REF!))</f>
        <v>#REF!</v>
      </c>
      <c r="AE50" s="11" t="e">
        <f>IF($L50="","",SUMIF(#REF!,$L50,#REF!))</f>
        <v>#REF!</v>
      </c>
      <c r="AF50" s="11"/>
      <c r="AG50" s="11" t="e">
        <f>IF($L50="","",SUMIF(#REF!,$L50,#REF!))</f>
        <v>#REF!</v>
      </c>
    </row>
    <row r="51" spans="12:33">
      <c r="L51" t="s">
        <v>205</v>
      </c>
      <c r="M51" s="11" t="e">
        <f>IF($L51="","",SUMIF(#REF!,$L51,#REF!))</f>
        <v>#REF!</v>
      </c>
      <c r="N51" s="11"/>
      <c r="O51" s="11" t="e">
        <f>IF($L51="","",SUMIF(#REF!,$L51,#REF!))</f>
        <v>#REF!</v>
      </c>
      <c r="P51" s="12" t="e">
        <f>IF($L51="","",SUMIF(#REF!,$L51,#REF!))</f>
        <v>#REF!</v>
      </c>
      <c r="Q51" s="12"/>
      <c r="R51" s="12" t="e">
        <f>IF($L51="","",SUMIF(#REF!,$L51,#REF!))</f>
        <v>#REF!</v>
      </c>
      <c r="S51" s="11" t="e">
        <f>IF($L51="","",SUMIF(#REF!,$L51,#REF!))</f>
        <v>#REF!</v>
      </c>
      <c r="T51" s="11"/>
      <c r="U51" s="11" t="e">
        <f>IF($L51="","",SUMIF(#REF!,$L51,#REF!))</f>
        <v>#REF!</v>
      </c>
      <c r="V51" s="12" t="e">
        <f>IF($L51="","",SUMIF(#REF!,$L51,#REF!))</f>
        <v>#REF!</v>
      </c>
      <c r="W51" s="12"/>
      <c r="X51" s="12" t="e">
        <f>IF($L51="","",SUMIF(#REF!,$L51,#REF!))</f>
        <v>#REF!</v>
      </c>
      <c r="Y51" s="11" t="e">
        <f>IF($L51="","",SUMIF(#REF!,$L51,#REF!))</f>
        <v>#REF!</v>
      </c>
      <c r="Z51" s="11"/>
      <c r="AA51" s="11" t="e">
        <f>IF($L51="","",SUMIF(#REF!,$L51,#REF!))</f>
        <v>#REF!</v>
      </c>
      <c r="AB51" s="12" t="e">
        <f>IF($L51="","",SUMIF(#REF!,$L51,#REF!))</f>
        <v>#REF!</v>
      </c>
      <c r="AC51" s="12"/>
      <c r="AD51" s="12" t="e">
        <f>IF($L51="","",SUMIF(#REF!,$L51,#REF!))</f>
        <v>#REF!</v>
      </c>
      <c r="AE51" s="11" t="e">
        <f>IF($L51="","",SUMIF(#REF!,$L51,#REF!))</f>
        <v>#REF!</v>
      </c>
      <c r="AF51" s="11"/>
      <c r="AG51" s="11" t="e">
        <f>IF($L51="","",SUMIF(#REF!,$L51,#REF!))</f>
        <v>#REF!</v>
      </c>
    </row>
    <row r="52" spans="12:33">
      <c r="L52" t="s">
        <v>206</v>
      </c>
      <c r="M52" s="11" t="e">
        <f>IF($L52="","",SUMIF(#REF!,$L52,#REF!))</f>
        <v>#REF!</v>
      </c>
      <c r="N52" s="11"/>
      <c r="O52" s="11" t="e">
        <f>IF($L52="","",SUMIF(#REF!,$L52,#REF!))</f>
        <v>#REF!</v>
      </c>
      <c r="P52" s="12" t="e">
        <f>IF($L52="","",SUMIF(#REF!,$L52,#REF!))</f>
        <v>#REF!</v>
      </c>
      <c r="Q52" s="12"/>
      <c r="R52" s="12" t="e">
        <f>IF($L52="","",SUMIF(#REF!,$L52,#REF!))</f>
        <v>#REF!</v>
      </c>
      <c r="S52" s="11" t="e">
        <f>IF($L52="","",SUMIF(#REF!,$L52,#REF!))</f>
        <v>#REF!</v>
      </c>
      <c r="T52" s="11"/>
      <c r="U52" s="11" t="e">
        <f>IF($L52="","",SUMIF(#REF!,$L52,#REF!))</f>
        <v>#REF!</v>
      </c>
      <c r="V52" s="12" t="e">
        <f>IF($L52="","",SUMIF(#REF!,$L52,#REF!))</f>
        <v>#REF!</v>
      </c>
      <c r="W52" s="12"/>
      <c r="X52" s="12" t="e">
        <f>IF($L52="","",SUMIF(#REF!,$L52,#REF!))</f>
        <v>#REF!</v>
      </c>
      <c r="Y52" s="11" t="e">
        <f>IF($L52="","",SUMIF(#REF!,$L52,#REF!))</f>
        <v>#REF!</v>
      </c>
      <c r="Z52" s="11"/>
      <c r="AA52" s="11" t="e">
        <f>IF($L52="","",SUMIF(#REF!,$L52,#REF!))</f>
        <v>#REF!</v>
      </c>
      <c r="AB52" s="12" t="e">
        <f>IF($L52="","",SUMIF(#REF!,$L52,#REF!))</f>
        <v>#REF!</v>
      </c>
      <c r="AC52" s="12"/>
      <c r="AD52" s="12" t="e">
        <f>IF($L52="","",SUMIF(#REF!,$L52,#REF!))</f>
        <v>#REF!</v>
      </c>
      <c r="AE52" s="11" t="e">
        <f>IF($L52="","",SUMIF(#REF!,$L52,#REF!))</f>
        <v>#REF!</v>
      </c>
      <c r="AF52" s="11"/>
      <c r="AG52" s="11" t="e">
        <f>IF($L52="","",SUMIF(#REF!,$L52,#REF!))</f>
        <v>#REF!</v>
      </c>
    </row>
    <row r="53" spans="12:33">
      <c r="L53" t="s">
        <v>207</v>
      </c>
      <c r="M53" s="11" t="e">
        <f>IF($L53="","",SUMIF(#REF!,$L53,#REF!))</f>
        <v>#REF!</v>
      </c>
      <c r="N53" s="11"/>
      <c r="O53" s="11" t="e">
        <f>IF($L53="","",SUMIF(#REF!,$L53,#REF!))</f>
        <v>#REF!</v>
      </c>
      <c r="P53" s="12" t="e">
        <f>IF($L53="","",SUMIF(#REF!,$L53,#REF!))</f>
        <v>#REF!</v>
      </c>
      <c r="Q53" s="12"/>
      <c r="R53" s="12" t="e">
        <f>IF($L53="","",SUMIF(#REF!,$L53,#REF!))</f>
        <v>#REF!</v>
      </c>
      <c r="S53" s="11" t="e">
        <f>IF($L53="","",SUMIF(#REF!,$L53,#REF!))</f>
        <v>#REF!</v>
      </c>
      <c r="T53" s="11"/>
      <c r="U53" s="11" t="e">
        <f>IF($L53="","",SUMIF(#REF!,$L53,#REF!))</f>
        <v>#REF!</v>
      </c>
      <c r="V53" s="12" t="e">
        <f>IF($L53="","",SUMIF(#REF!,$L53,#REF!))</f>
        <v>#REF!</v>
      </c>
      <c r="W53" s="12"/>
      <c r="X53" s="12" t="e">
        <f>IF($L53="","",SUMIF(#REF!,$L53,#REF!))</f>
        <v>#REF!</v>
      </c>
      <c r="Y53" s="11" t="e">
        <f>IF($L53="","",SUMIF(#REF!,$L53,#REF!))</f>
        <v>#REF!</v>
      </c>
      <c r="Z53" s="11"/>
      <c r="AA53" s="11" t="e">
        <f>IF($L53="","",SUMIF(#REF!,$L53,#REF!))</f>
        <v>#REF!</v>
      </c>
      <c r="AB53" s="12" t="e">
        <f>IF($L53="","",SUMIF(#REF!,$L53,#REF!))</f>
        <v>#REF!</v>
      </c>
      <c r="AC53" s="12"/>
      <c r="AD53" s="12" t="e">
        <f>IF($L53="","",SUMIF(#REF!,$L53,#REF!))</f>
        <v>#REF!</v>
      </c>
      <c r="AE53" s="11" t="e">
        <f>IF($L53="","",SUMIF(#REF!,$L53,#REF!))</f>
        <v>#REF!</v>
      </c>
      <c r="AF53" s="11"/>
      <c r="AG53" s="11" t="e">
        <f>IF($L53="","",SUMIF(#REF!,$L53,#REF!))</f>
        <v>#REF!</v>
      </c>
    </row>
  </sheetData>
  <mergeCells count="20">
    <mergeCell ref="AE1:AG1"/>
    <mergeCell ref="AH1:AH2"/>
    <mergeCell ref="M1:O1"/>
    <mergeCell ref="P1:R1"/>
    <mergeCell ref="S1:U1"/>
    <mergeCell ref="V1:X1"/>
    <mergeCell ref="Y1:AA1"/>
    <mergeCell ref="AB1:AD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3"/>
  <sheetViews>
    <sheetView tabSelected="1" workbookViewId="0">
      <selection activeCell="A23" sqref="A23:XFD23"/>
    </sheetView>
  </sheetViews>
  <sheetFormatPr defaultRowHeight="15"/>
  <cols>
    <col min="1" max="1" width="19" bestFit="1" customWidth="1"/>
    <col min="2" max="2" width="27.5703125" customWidth="1"/>
    <col min="3" max="3" width="10.85546875" customWidth="1"/>
    <col min="4" max="4" width="12" hidden="1" customWidth="1"/>
    <col min="5" max="5" width="18.85546875" customWidth="1"/>
    <col min="6" max="6" width="9.7109375" customWidth="1"/>
    <col min="7" max="7" width="10.140625" bestFit="1" customWidth="1"/>
    <col min="8" max="8" width="16.85546875" hidden="1" customWidth="1"/>
    <col min="9" max="9" width="10.7109375" bestFit="1" customWidth="1"/>
    <col min="10" max="10" width="9.85546875" hidden="1" customWidth="1"/>
    <col min="11" max="11" width="9.5703125" bestFit="1" customWidth="1"/>
    <col min="12" max="12" width="23.5703125" customWidth="1"/>
    <col min="13" max="14" width="8.5703125" customWidth="1"/>
    <col min="15" max="15" width="10.28515625" customWidth="1"/>
    <col min="16" max="17" width="8.5703125" customWidth="1"/>
    <col min="18" max="18" width="10.28515625" customWidth="1"/>
    <col min="19" max="20" width="8.5703125" customWidth="1"/>
    <col min="21" max="21" width="10.28515625" customWidth="1"/>
    <col min="22" max="23" width="8.5703125" customWidth="1"/>
    <col min="24" max="24" width="10.28515625" customWidth="1"/>
    <col min="25" max="26" width="8.5703125" customWidth="1"/>
    <col min="27" max="27" width="10.28515625" customWidth="1"/>
    <col min="28" max="29" width="8.5703125" customWidth="1"/>
    <col min="30" max="30" width="15.28515625" customWidth="1"/>
    <col min="31" max="32" width="8.5703125" customWidth="1"/>
    <col min="33" max="33" width="10.28515625" customWidth="1"/>
    <col min="34" max="34" width="39.7109375" customWidth="1"/>
  </cols>
  <sheetData>
    <row r="1" spans="1:34">
      <c r="A1" s="33" t="s">
        <v>37</v>
      </c>
      <c r="B1" s="33" t="s">
        <v>38</v>
      </c>
      <c r="C1" s="33" t="s">
        <v>2</v>
      </c>
      <c r="D1" s="33" t="s">
        <v>39</v>
      </c>
      <c r="E1" s="33" t="s">
        <v>40</v>
      </c>
      <c r="F1" s="33" t="s">
        <v>41</v>
      </c>
      <c r="G1" s="33" t="s">
        <v>42</v>
      </c>
      <c r="H1" s="33" t="s">
        <v>43</v>
      </c>
      <c r="I1" s="33" t="s">
        <v>44</v>
      </c>
      <c r="J1" s="33" t="s">
        <v>45</v>
      </c>
      <c r="K1" s="33" t="s">
        <v>46</v>
      </c>
      <c r="L1" s="33" t="s">
        <v>47</v>
      </c>
      <c r="M1" s="33" t="s">
        <v>26</v>
      </c>
      <c r="N1" s="33"/>
      <c r="O1" s="33"/>
      <c r="P1" s="33" t="s">
        <v>27</v>
      </c>
      <c r="Q1" s="33"/>
      <c r="R1" s="33"/>
      <c r="S1" s="33" t="s">
        <v>28</v>
      </c>
      <c r="T1" s="33"/>
      <c r="U1" s="33"/>
      <c r="V1" s="33" t="s">
        <v>29</v>
      </c>
      <c r="W1" s="33"/>
      <c r="X1" s="33"/>
      <c r="Y1" s="33" t="s">
        <v>30</v>
      </c>
      <c r="Z1" s="33"/>
      <c r="AA1" s="33"/>
      <c r="AB1" s="33" t="s">
        <v>31</v>
      </c>
      <c r="AC1" s="33"/>
      <c r="AD1" s="33"/>
      <c r="AE1" s="34" t="s">
        <v>18</v>
      </c>
      <c r="AF1" s="34"/>
      <c r="AG1" s="34"/>
      <c r="AH1" s="33" t="s">
        <v>48</v>
      </c>
    </row>
    <row r="2" spans="1:34" ht="36.75" hidden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9" t="s">
        <v>49</v>
      </c>
      <c r="N2" s="9" t="s">
        <v>50</v>
      </c>
      <c r="O2" s="9" t="s">
        <v>4</v>
      </c>
      <c r="P2" s="9" t="s">
        <v>49</v>
      </c>
      <c r="Q2" s="9" t="s">
        <v>50</v>
      </c>
      <c r="R2" s="9" t="s">
        <v>4</v>
      </c>
      <c r="S2" s="9" t="s">
        <v>49</v>
      </c>
      <c r="T2" s="9" t="s">
        <v>50</v>
      </c>
      <c r="U2" s="9" t="s">
        <v>4</v>
      </c>
      <c r="V2" s="9" t="s">
        <v>49</v>
      </c>
      <c r="W2" s="9" t="s">
        <v>50</v>
      </c>
      <c r="X2" s="9" t="s">
        <v>4</v>
      </c>
      <c r="Y2" s="9" t="s">
        <v>49</v>
      </c>
      <c r="Z2" s="9" t="s">
        <v>50</v>
      </c>
      <c r="AA2" s="9" t="s">
        <v>4</v>
      </c>
      <c r="AB2" s="9" t="s">
        <v>49</v>
      </c>
      <c r="AC2" s="9" t="s">
        <v>50</v>
      </c>
      <c r="AD2" s="9" t="s">
        <v>4</v>
      </c>
      <c r="AE2" s="10" t="s">
        <v>49</v>
      </c>
      <c r="AF2" s="10" t="s">
        <v>50</v>
      </c>
      <c r="AG2" s="10" t="s">
        <v>4</v>
      </c>
      <c r="AH2" s="33"/>
    </row>
    <row r="3" spans="1:34" hidden="1">
      <c r="A3" s="1" t="s">
        <v>51</v>
      </c>
      <c r="B3" s="1" t="s">
        <v>52</v>
      </c>
      <c r="C3" s="1" t="s">
        <v>13</v>
      </c>
      <c r="D3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1">
        <v>3</v>
      </c>
      <c r="N3" s="11">
        <v>1</v>
      </c>
      <c r="O3" s="11">
        <v>102</v>
      </c>
      <c r="P3" s="12">
        <v>0</v>
      </c>
      <c r="Q3" s="12">
        <v>0</v>
      </c>
      <c r="R3" s="12">
        <v>0</v>
      </c>
      <c r="S3" s="11">
        <v>0</v>
      </c>
      <c r="T3" s="11">
        <v>0</v>
      </c>
      <c r="U3" s="11">
        <v>0</v>
      </c>
      <c r="V3" s="12">
        <v>0</v>
      </c>
      <c r="W3" s="12">
        <v>3</v>
      </c>
      <c r="X3" s="12">
        <v>485</v>
      </c>
      <c r="Y3" s="11">
        <v>0</v>
      </c>
      <c r="Z3" s="11">
        <v>2</v>
      </c>
      <c r="AA3" s="11">
        <v>485</v>
      </c>
      <c r="AB3" s="12">
        <v>0</v>
      </c>
      <c r="AC3" s="12">
        <v>0</v>
      </c>
      <c r="AD3" s="12">
        <v>457</v>
      </c>
      <c r="AE3" s="11">
        <v>3</v>
      </c>
      <c r="AF3" s="11">
        <v>6</v>
      </c>
      <c r="AG3" s="11">
        <v>1529</v>
      </c>
    </row>
    <row r="4" spans="1:34" hidden="1">
      <c r="A4" s="1" t="s">
        <v>62</v>
      </c>
      <c r="B4" s="1" t="s">
        <v>63</v>
      </c>
      <c r="C4" s="1" t="s">
        <v>13</v>
      </c>
      <c r="D4" t="s">
        <v>53</v>
      </c>
      <c r="E4" s="1" t="s">
        <v>54</v>
      </c>
      <c r="F4" s="1" t="s">
        <v>55</v>
      </c>
      <c r="G4" s="1" t="s">
        <v>56</v>
      </c>
      <c r="H4" s="1" t="s">
        <v>64</v>
      </c>
      <c r="I4" s="1" t="s">
        <v>58</v>
      </c>
      <c r="J4" s="1" t="s">
        <v>59</v>
      </c>
      <c r="K4" s="1" t="s">
        <v>60</v>
      </c>
      <c r="L4" s="1" t="s">
        <v>65</v>
      </c>
      <c r="M4" s="11">
        <v>0</v>
      </c>
      <c r="N4" s="11">
        <v>1</v>
      </c>
      <c r="O4" s="11">
        <v>7017</v>
      </c>
      <c r="P4" s="12">
        <v>3</v>
      </c>
      <c r="Q4" s="12">
        <v>1</v>
      </c>
      <c r="R4" s="12">
        <v>7045</v>
      </c>
      <c r="S4" s="11">
        <v>4</v>
      </c>
      <c r="T4" s="11">
        <v>0</v>
      </c>
      <c r="U4" s="11">
        <v>5249</v>
      </c>
      <c r="V4" s="12">
        <v>0</v>
      </c>
      <c r="W4" s="12">
        <v>1</v>
      </c>
      <c r="X4" s="12">
        <v>1033</v>
      </c>
      <c r="Y4" s="11">
        <v>0</v>
      </c>
      <c r="Z4" s="11">
        <v>0</v>
      </c>
      <c r="AA4" s="11">
        <v>9196</v>
      </c>
      <c r="AB4" s="12">
        <v>2</v>
      </c>
      <c r="AC4" s="12">
        <v>0</v>
      </c>
      <c r="AD4" s="12">
        <v>20951</v>
      </c>
      <c r="AE4" s="11">
        <v>9</v>
      </c>
      <c r="AF4" s="11">
        <v>3</v>
      </c>
      <c r="AG4" s="11">
        <v>50491</v>
      </c>
    </row>
    <row r="5" spans="1:34" hidden="1">
      <c r="A5" s="1" t="s">
        <v>66</v>
      </c>
      <c r="B5" s="1" t="s">
        <v>67</v>
      </c>
      <c r="C5" s="1" t="s">
        <v>13</v>
      </c>
      <c r="D5" t="s">
        <v>53</v>
      </c>
      <c r="E5" s="1" t="s">
        <v>54</v>
      </c>
      <c r="F5" s="1" t="s">
        <v>55</v>
      </c>
      <c r="G5" s="1" t="s">
        <v>56</v>
      </c>
      <c r="H5" s="1" t="s">
        <v>68</v>
      </c>
      <c r="I5" s="1" t="s">
        <v>58</v>
      </c>
      <c r="J5" s="1" t="s">
        <v>59</v>
      </c>
      <c r="K5" s="1" t="s">
        <v>60</v>
      </c>
      <c r="L5" s="1" t="s">
        <v>69</v>
      </c>
      <c r="M5" s="11">
        <v>0</v>
      </c>
      <c r="N5" s="11">
        <v>0</v>
      </c>
      <c r="O5" s="11">
        <v>0</v>
      </c>
      <c r="P5" s="12">
        <v>1</v>
      </c>
      <c r="Q5" s="12">
        <v>0</v>
      </c>
      <c r="R5" s="12">
        <v>20</v>
      </c>
      <c r="S5" s="11">
        <v>1</v>
      </c>
      <c r="T5" s="11">
        <v>0</v>
      </c>
      <c r="U5" s="11">
        <v>20</v>
      </c>
      <c r="V5" s="12">
        <v>1</v>
      </c>
      <c r="W5" s="12">
        <v>0</v>
      </c>
      <c r="X5" s="12">
        <v>5119</v>
      </c>
      <c r="Y5" s="11">
        <v>5</v>
      </c>
      <c r="Z5" s="11">
        <v>2</v>
      </c>
      <c r="AA5" s="11">
        <v>23561</v>
      </c>
      <c r="AB5" s="12">
        <v>1</v>
      </c>
      <c r="AC5" s="12">
        <v>3</v>
      </c>
      <c r="AD5" s="12">
        <v>4873</v>
      </c>
      <c r="AE5" s="11">
        <v>9</v>
      </c>
      <c r="AF5" s="11">
        <v>5</v>
      </c>
      <c r="AG5" s="11">
        <v>33593</v>
      </c>
    </row>
    <row r="6" spans="1:34" hidden="1">
      <c r="A6" s="1" t="s">
        <v>70</v>
      </c>
      <c r="B6" s="1" t="s">
        <v>71</v>
      </c>
      <c r="C6" s="1" t="s">
        <v>13</v>
      </c>
      <c r="D6" t="s">
        <v>53</v>
      </c>
      <c r="E6" s="1" t="s">
        <v>54</v>
      </c>
      <c r="F6" s="1" t="s">
        <v>55</v>
      </c>
      <c r="G6" s="1" t="s">
        <v>56</v>
      </c>
      <c r="H6" s="1" t="s">
        <v>72</v>
      </c>
      <c r="I6" s="1" t="s">
        <v>58</v>
      </c>
      <c r="J6" s="1" t="s">
        <v>59</v>
      </c>
      <c r="K6" s="1" t="s">
        <v>60</v>
      </c>
      <c r="L6" s="1"/>
      <c r="M6" s="11" t="s">
        <v>208</v>
      </c>
      <c r="N6" s="11">
        <v>0</v>
      </c>
      <c r="O6" s="11" t="s">
        <v>208</v>
      </c>
      <c r="P6" s="12" t="s">
        <v>208</v>
      </c>
      <c r="Q6" s="12">
        <v>1</v>
      </c>
      <c r="R6" s="12" t="s">
        <v>208</v>
      </c>
      <c r="S6" s="11" t="s">
        <v>208</v>
      </c>
      <c r="T6" s="11">
        <v>0</v>
      </c>
      <c r="U6" s="11" t="s">
        <v>208</v>
      </c>
      <c r="V6" s="12" t="s">
        <v>208</v>
      </c>
      <c r="W6" s="12">
        <v>0</v>
      </c>
      <c r="X6" s="12" t="s">
        <v>208</v>
      </c>
      <c r="Y6" s="11" t="s">
        <v>208</v>
      </c>
      <c r="Z6" s="11">
        <v>0</v>
      </c>
      <c r="AA6" s="11" t="s">
        <v>208</v>
      </c>
      <c r="AB6" s="12" t="s">
        <v>208</v>
      </c>
      <c r="AC6" s="12">
        <v>0</v>
      </c>
      <c r="AD6" s="12" t="s">
        <v>208</v>
      </c>
      <c r="AE6" s="11" t="s">
        <v>208</v>
      </c>
      <c r="AF6" s="11">
        <v>1</v>
      </c>
      <c r="AG6" s="11" t="s">
        <v>208</v>
      </c>
    </row>
    <row r="7" spans="1:34" hidden="1">
      <c r="A7" s="1" t="s">
        <v>73</v>
      </c>
      <c r="B7" s="1" t="s">
        <v>74</v>
      </c>
      <c r="C7" s="1" t="s">
        <v>13</v>
      </c>
      <c r="D7" t="s">
        <v>53</v>
      </c>
      <c r="E7" s="1" t="s">
        <v>54</v>
      </c>
      <c r="F7" s="1" t="s">
        <v>55</v>
      </c>
      <c r="G7" s="1" t="s">
        <v>56</v>
      </c>
      <c r="H7" s="1" t="s">
        <v>75</v>
      </c>
      <c r="I7" s="1" t="s">
        <v>58</v>
      </c>
      <c r="J7" s="1" t="s">
        <v>76</v>
      </c>
      <c r="K7" s="1" t="s">
        <v>60</v>
      </c>
      <c r="L7" s="1" t="s">
        <v>77</v>
      </c>
      <c r="M7" s="11">
        <v>99</v>
      </c>
      <c r="N7" s="11">
        <v>85</v>
      </c>
      <c r="O7" s="11">
        <v>86186</v>
      </c>
      <c r="P7" s="12">
        <v>30</v>
      </c>
      <c r="Q7" s="12">
        <v>34</v>
      </c>
      <c r="R7" s="12">
        <v>16786</v>
      </c>
      <c r="S7" s="11">
        <v>11</v>
      </c>
      <c r="T7" s="11">
        <v>13</v>
      </c>
      <c r="U7" s="11">
        <v>5433</v>
      </c>
      <c r="V7" s="12">
        <v>10</v>
      </c>
      <c r="W7" s="12">
        <v>7</v>
      </c>
      <c r="X7" s="12">
        <v>3716</v>
      </c>
      <c r="Y7" s="11">
        <v>17</v>
      </c>
      <c r="Z7" s="11">
        <v>13</v>
      </c>
      <c r="AA7" s="11">
        <v>1415</v>
      </c>
      <c r="AB7" s="12">
        <v>11</v>
      </c>
      <c r="AC7" s="12">
        <v>16</v>
      </c>
      <c r="AD7" s="12">
        <v>3262</v>
      </c>
      <c r="AE7" s="11">
        <v>178</v>
      </c>
      <c r="AF7" s="11">
        <v>168</v>
      </c>
      <c r="AG7" s="11">
        <v>116798</v>
      </c>
    </row>
    <row r="8" spans="1:34" hidden="1">
      <c r="A8" s="1" t="s">
        <v>78</v>
      </c>
      <c r="B8" s="1" t="s">
        <v>79</v>
      </c>
      <c r="C8" s="1" t="s">
        <v>14</v>
      </c>
      <c r="D8" t="str" cm="1">
        <f t="array" ref="D8">IFERROR(_xlfn.TEXTJOIN(", ",TRUE,_xlfn.UNIQUE(_xlfn._xlws.FILTER(#REF!,(#REF!="Final")*(COUNTIFS('[1]Demand Capacity'!$B:$B,$A8,'[1]Demand Capacity'!$A:$A,#REF!)&gt;0),""))),"")</f>
        <v/>
      </c>
      <c r="E8" s="1" t="s">
        <v>66</v>
      </c>
      <c r="F8" s="1" t="s">
        <v>55</v>
      </c>
      <c r="G8" s="1" t="s">
        <v>56</v>
      </c>
      <c r="H8" s="1" t="s">
        <v>80</v>
      </c>
      <c r="I8" s="1" t="s">
        <v>81</v>
      </c>
      <c r="J8" s="1" t="s">
        <v>76</v>
      </c>
      <c r="K8" s="1" t="s">
        <v>82</v>
      </c>
      <c r="L8" s="1" t="s">
        <v>83</v>
      </c>
      <c r="M8" s="11">
        <v>0</v>
      </c>
      <c r="N8" s="11">
        <v>0</v>
      </c>
      <c r="O8" s="11">
        <v>0</v>
      </c>
      <c r="P8" s="12">
        <v>0</v>
      </c>
      <c r="Q8" s="12">
        <v>0</v>
      </c>
      <c r="R8" s="12">
        <v>0</v>
      </c>
      <c r="S8" s="11">
        <v>0</v>
      </c>
      <c r="T8" s="11">
        <v>0</v>
      </c>
      <c r="U8" s="11">
        <v>0</v>
      </c>
      <c r="V8" s="12">
        <v>0</v>
      </c>
      <c r="W8" s="12">
        <v>0</v>
      </c>
      <c r="X8" s="12">
        <v>0</v>
      </c>
      <c r="Y8" s="11">
        <v>0</v>
      </c>
      <c r="Z8" s="11">
        <v>0</v>
      </c>
      <c r="AA8" s="11">
        <v>3418</v>
      </c>
      <c r="AB8" s="12">
        <v>0</v>
      </c>
      <c r="AC8" s="12">
        <v>0</v>
      </c>
      <c r="AD8" s="12">
        <v>0</v>
      </c>
      <c r="AE8" s="11">
        <v>0</v>
      </c>
      <c r="AF8" s="11">
        <v>0</v>
      </c>
      <c r="AG8" s="11">
        <v>3418</v>
      </c>
    </row>
    <row r="9" spans="1:34" hidden="1">
      <c r="A9" s="1" t="s">
        <v>84</v>
      </c>
      <c r="B9" s="1" t="s">
        <v>79</v>
      </c>
      <c r="C9" s="1" t="s">
        <v>14</v>
      </c>
      <c r="D9" t="str" cm="1">
        <f t="array" ref="D9">IFERROR(_xlfn.TEXTJOIN(", ",TRUE,_xlfn.UNIQUE(_xlfn._xlws.FILTER(#REF!,(#REF!="Final")*(COUNTIFS('[1]Demand Capacity'!$B:$B,$A9,'[1]Demand Capacity'!$A:$A,#REF!)&gt;0),""))),"")</f>
        <v/>
      </c>
      <c r="E9" s="1" t="s">
        <v>66</v>
      </c>
      <c r="F9" s="1" t="s">
        <v>55</v>
      </c>
      <c r="G9" s="1" t="s">
        <v>56</v>
      </c>
      <c r="H9" s="1" t="s">
        <v>85</v>
      </c>
      <c r="I9" s="1" t="s">
        <v>81</v>
      </c>
      <c r="J9" s="1" t="s">
        <v>76</v>
      </c>
      <c r="K9" s="1" t="s">
        <v>86</v>
      </c>
      <c r="L9" s="1" t="s">
        <v>87</v>
      </c>
      <c r="M9" s="11">
        <v>0</v>
      </c>
      <c r="N9" s="11">
        <v>0</v>
      </c>
      <c r="O9" s="11">
        <v>13569</v>
      </c>
      <c r="P9" s="12">
        <v>0</v>
      </c>
      <c r="Q9" s="12">
        <v>1</v>
      </c>
      <c r="R9" s="12">
        <v>120146</v>
      </c>
      <c r="S9" s="11">
        <v>0</v>
      </c>
      <c r="T9" s="11">
        <v>0</v>
      </c>
      <c r="U9" s="11">
        <v>12105</v>
      </c>
      <c r="V9" s="12">
        <v>0</v>
      </c>
      <c r="W9" s="12">
        <v>0</v>
      </c>
      <c r="X9" s="12">
        <v>16062</v>
      </c>
      <c r="Y9" s="11">
        <v>0</v>
      </c>
      <c r="Z9" s="11">
        <v>1</v>
      </c>
      <c r="AA9" s="11">
        <v>24899</v>
      </c>
      <c r="AB9" s="12">
        <v>0</v>
      </c>
      <c r="AC9" s="12">
        <v>0</v>
      </c>
      <c r="AD9" s="12">
        <v>11427</v>
      </c>
      <c r="AE9" s="11">
        <v>0</v>
      </c>
      <c r="AF9" s="11">
        <v>2</v>
      </c>
      <c r="AG9" s="11">
        <v>198208</v>
      </c>
    </row>
    <row r="10" spans="1:34">
      <c r="A10" s="1" t="s">
        <v>88</v>
      </c>
      <c r="B10" s="1" t="s">
        <v>79</v>
      </c>
      <c r="C10" s="1" t="s">
        <v>14</v>
      </c>
      <c r="D10" t="str" cm="1">
        <f t="array" ref="D10">IFERROR(_xlfn.TEXTJOIN(", ",TRUE,_xlfn.UNIQUE(_xlfn._xlws.FILTER(#REF!,(#REF!="Final")*(COUNTIFS('[1]Demand Capacity'!$B:$B,$A10,'[1]Demand Capacity'!$A:$A,#REF!)&gt;0),""))),"")</f>
        <v/>
      </c>
      <c r="E10" s="1" t="s">
        <v>62</v>
      </c>
      <c r="F10" s="1" t="s">
        <v>89</v>
      </c>
      <c r="G10" s="1" t="s">
        <v>90</v>
      </c>
      <c r="H10" s="1"/>
      <c r="I10" s="1" t="s">
        <v>81</v>
      </c>
      <c r="J10" s="1" t="s">
        <v>76</v>
      </c>
      <c r="K10" s="1" t="s">
        <v>86</v>
      </c>
      <c r="L10" s="1" t="s">
        <v>91</v>
      </c>
      <c r="M10" s="11">
        <v>7</v>
      </c>
      <c r="N10" s="11">
        <v>8</v>
      </c>
      <c r="O10" s="11">
        <v>4504</v>
      </c>
      <c r="P10" s="12">
        <v>5</v>
      </c>
      <c r="Q10" s="12">
        <v>4</v>
      </c>
      <c r="R10" s="12">
        <v>7510</v>
      </c>
      <c r="S10" s="11">
        <v>9</v>
      </c>
      <c r="T10" s="11">
        <v>5</v>
      </c>
      <c r="U10" s="11">
        <v>8061</v>
      </c>
      <c r="V10" s="12">
        <v>3</v>
      </c>
      <c r="W10" s="12">
        <v>4</v>
      </c>
      <c r="X10" s="12">
        <v>7460</v>
      </c>
      <c r="Y10" s="11">
        <v>9</v>
      </c>
      <c r="Z10" s="11">
        <v>3</v>
      </c>
      <c r="AA10" s="11">
        <v>8710</v>
      </c>
      <c r="AB10" s="12">
        <v>6</v>
      </c>
      <c r="AC10" s="12">
        <v>6</v>
      </c>
      <c r="AD10" s="12">
        <v>1262</v>
      </c>
      <c r="AE10" s="11">
        <v>39</v>
      </c>
      <c r="AF10" s="11">
        <v>30</v>
      </c>
      <c r="AG10" s="11">
        <v>37507</v>
      </c>
    </row>
    <row r="11" spans="1:34">
      <c r="A11" s="1" t="s">
        <v>92</v>
      </c>
      <c r="B11" s="1" t="s">
        <v>93</v>
      </c>
      <c r="C11" s="1" t="s">
        <v>14</v>
      </c>
      <c r="D11" t="str" cm="1">
        <f t="array" ref="D11">IFERROR(_xlfn.TEXTJOIN(", ",TRUE,_xlfn.UNIQUE(_xlfn._xlws.FILTER(#REF!,(#REF!="Final")*(COUNTIFS('[1]Demand Capacity'!$B:$B,$A11,'[1]Demand Capacity'!$A:$A,#REF!)&gt;0),""))),"")</f>
        <v/>
      </c>
      <c r="E11" s="1" t="s">
        <v>62</v>
      </c>
      <c r="F11" s="1" t="s">
        <v>89</v>
      </c>
      <c r="G11" s="1" t="s">
        <v>90</v>
      </c>
      <c r="H11" s="1"/>
      <c r="I11" s="1" t="s">
        <v>94</v>
      </c>
      <c r="J11" s="1" t="s">
        <v>76</v>
      </c>
      <c r="K11" s="1" t="s">
        <v>86</v>
      </c>
      <c r="L11" s="1" t="s">
        <v>95</v>
      </c>
      <c r="M11" s="11">
        <v>0</v>
      </c>
      <c r="N11" s="11">
        <v>0</v>
      </c>
      <c r="O11" s="11">
        <v>0</v>
      </c>
      <c r="P11" s="12">
        <v>0</v>
      </c>
      <c r="Q11" s="12">
        <v>0</v>
      </c>
      <c r="R11" s="12">
        <v>0</v>
      </c>
      <c r="S11" s="11">
        <v>0</v>
      </c>
      <c r="T11" s="11">
        <v>0</v>
      </c>
      <c r="U11" s="11">
        <v>0</v>
      </c>
      <c r="V11" s="12">
        <v>0</v>
      </c>
      <c r="W11" s="12">
        <v>0</v>
      </c>
      <c r="X11" s="12">
        <v>9088</v>
      </c>
      <c r="Y11" s="11">
        <v>1</v>
      </c>
      <c r="Z11" s="11">
        <v>2</v>
      </c>
      <c r="AA11" s="11">
        <v>9088</v>
      </c>
      <c r="AB11" s="12">
        <v>0</v>
      </c>
      <c r="AC11" s="12">
        <v>2</v>
      </c>
      <c r="AD11" s="12">
        <v>0</v>
      </c>
      <c r="AE11" s="11">
        <v>1</v>
      </c>
      <c r="AF11" s="11">
        <v>4</v>
      </c>
      <c r="AG11" s="11">
        <v>18176</v>
      </c>
    </row>
    <row r="12" spans="1:34">
      <c r="A12" s="1" t="s">
        <v>96</v>
      </c>
      <c r="B12" s="1" t="s">
        <v>97</v>
      </c>
      <c r="C12" s="1" t="s">
        <v>14</v>
      </c>
      <c r="D12" t="str" cm="1">
        <f t="array" ref="D12">IFERROR(_xlfn.TEXTJOIN(", ",TRUE,_xlfn.UNIQUE(_xlfn._xlws.FILTER(#REF!,(#REF!="Final")*(COUNTIFS('[1]Demand Capacity'!$B:$B,$A12,'[1]Demand Capacity'!$A:$A,#REF!)&gt;0),""))),"")</f>
        <v/>
      </c>
      <c r="E12" s="1" t="s">
        <v>62</v>
      </c>
      <c r="F12" s="1" t="s">
        <v>89</v>
      </c>
      <c r="G12" s="1" t="s">
        <v>90</v>
      </c>
      <c r="H12" s="1"/>
      <c r="I12" s="1" t="s">
        <v>81</v>
      </c>
      <c r="J12" s="1" t="s">
        <v>76</v>
      </c>
      <c r="K12" s="1" t="s">
        <v>82</v>
      </c>
      <c r="L12" s="1" t="s">
        <v>98</v>
      </c>
      <c r="M12" s="11">
        <v>0</v>
      </c>
      <c r="N12" s="11">
        <v>1</v>
      </c>
      <c r="O12" s="11">
        <v>0</v>
      </c>
      <c r="P12" s="12">
        <v>12</v>
      </c>
      <c r="Q12" s="12">
        <v>5</v>
      </c>
      <c r="R12" s="12">
        <v>54480</v>
      </c>
      <c r="S12" s="11">
        <v>6</v>
      </c>
      <c r="T12" s="11">
        <v>9</v>
      </c>
      <c r="U12" s="11">
        <v>1158508</v>
      </c>
      <c r="V12" s="12">
        <v>1</v>
      </c>
      <c r="W12" s="12">
        <v>2</v>
      </c>
      <c r="X12" s="12">
        <v>6381</v>
      </c>
      <c r="Y12" s="11">
        <v>2</v>
      </c>
      <c r="Z12" s="11">
        <v>2</v>
      </c>
      <c r="AA12" s="11">
        <v>27556</v>
      </c>
      <c r="AB12" s="12">
        <v>1</v>
      </c>
      <c r="AC12" s="12">
        <v>0</v>
      </c>
      <c r="AD12" s="12">
        <v>14844</v>
      </c>
      <c r="AE12" s="11">
        <v>22</v>
      </c>
      <c r="AF12" s="11">
        <v>19</v>
      </c>
      <c r="AG12" s="11">
        <v>1261769</v>
      </c>
    </row>
    <row r="13" spans="1:34">
      <c r="A13" s="1" t="s">
        <v>99</v>
      </c>
      <c r="B13" s="1" t="s">
        <v>100</v>
      </c>
      <c r="C13" s="1" t="s">
        <v>15</v>
      </c>
      <c r="D13" t="str" cm="1">
        <f t="array" ref="D13">IFERROR(_xlfn.TEXTJOIN(", ",TRUE,_xlfn.UNIQUE(_xlfn._xlws.FILTER(#REF!,(#REF!="Final")*(COUNTIFS('[1]Demand Capacity'!$B:$B,$A13,'[1]Demand Capacity'!$A:$A,#REF!)&gt;0),""))),"")</f>
        <v/>
      </c>
      <c r="E13" s="1" t="s">
        <v>73</v>
      </c>
      <c r="F13" s="1" t="s">
        <v>55</v>
      </c>
      <c r="G13" s="1" t="s">
        <v>56</v>
      </c>
      <c r="H13" s="1" t="s">
        <v>75</v>
      </c>
      <c r="I13" s="1" t="s">
        <v>101</v>
      </c>
      <c r="J13" s="1" t="s">
        <v>76</v>
      </c>
      <c r="K13" s="1" t="s">
        <v>86</v>
      </c>
      <c r="L13" s="1" t="s">
        <v>102</v>
      </c>
      <c r="M13" s="11">
        <v>8</v>
      </c>
      <c r="N13" s="11">
        <v>1</v>
      </c>
      <c r="O13" s="11">
        <v>1244</v>
      </c>
      <c r="P13" s="12">
        <v>7</v>
      </c>
      <c r="Q13" s="12">
        <v>14</v>
      </c>
      <c r="R13" s="12">
        <v>1233</v>
      </c>
      <c r="S13" s="11">
        <v>15</v>
      </c>
      <c r="T13" s="11">
        <v>13</v>
      </c>
      <c r="U13" s="11">
        <v>2536</v>
      </c>
      <c r="V13" s="12">
        <v>15</v>
      </c>
      <c r="W13" s="12">
        <v>3</v>
      </c>
      <c r="X13" s="12">
        <v>1478</v>
      </c>
      <c r="Y13" s="11">
        <v>6</v>
      </c>
      <c r="Z13" s="11">
        <v>1</v>
      </c>
      <c r="AA13" s="11">
        <v>1316</v>
      </c>
      <c r="AB13" s="12">
        <v>13</v>
      </c>
      <c r="AC13" s="12">
        <v>11</v>
      </c>
      <c r="AD13" s="12">
        <v>4601</v>
      </c>
      <c r="AE13" s="11">
        <v>64</v>
      </c>
      <c r="AF13" s="11">
        <v>43</v>
      </c>
      <c r="AG13" s="11">
        <v>12408</v>
      </c>
    </row>
    <row r="14" spans="1:34">
      <c r="A14" s="1" t="s">
        <v>103</v>
      </c>
      <c r="B14" s="1" t="s">
        <v>104</v>
      </c>
      <c r="C14" s="1" t="s">
        <v>15</v>
      </c>
      <c r="D14" t="str" cm="1">
        <f t="array" ref="D14">IFERROR(_xlfn.TEXTJOIN(", ",TRUE,_xlfn.UNIQUE(_xlfn._xlws.FILTER(#REF!,(#REF!="Final")*(COUNTIFS('[1]Demand Capacity'!$B:$B,$A14,'[1]Demand Capacity'!$A:$A,#REF!)&gt;0),""))),"")</f>
        <v/>
      </c>
      <c r="E14" s="1" t="s">
        <v>73</v>
      </c>
      <c r="F14" s="1" t="s">
        <v>89</v>
      </c>
      <c r="G14" s="1" t="s">
        <v>56</v>
      </c>
      <c r="H14" s="1" t="s">
        <v>105</v>
      </c>
      <c r="I14" s="1" t="s">
        <v>101</v>
      </c>
      <c r="J14" s="1" t="s">
        <v>76</v>
      </c>
      <c r="K14" s="1" t="s">
        <v>106</v>
      </c>
      <c r="L14" s="1" t="s">
        <v>107</v>
      </c>
      <c r="M14" s="11">
        <v>0</v>
      </c>
      <c r="N14" s="11">
        <v>0</v>
      </c>
      <c r="O14" s="11">
        <v>0</v>
      </c>
      <c r="P14" s="12">
        <v>2</v>
      </c>
      <c r="Q14" s="12">
        <v>1</v>
      </c>
      <c r="R14" s="12">
        <v>85</v>
      </c>
      <c r="S14" s="11">
        <v>0</v>
      </c>
      <c r="T14" s="11">
        <v>0</v>
      </c>
      <c r="U14" s="11">
        <v>456</v>
      </c>
      <c r="V14" s="12">
        <v>2</v>
      </c>
      <c r="W14" s="12">
        <v>0</v>
      </c>
      <c r="X14" s="12">
        <v>1037</v>
      </c>
      <c r="Y14" s="11">
        <v>1</v>
      </c>
      <c r="Z14" s="11">
        <v>0</v>
      </c>
      <c r="AA14" s="11">
        <v>1799</v>
      </c>
      <c r="AB14" s="12">
        <v>0</v>
      </c>
      <c r="AC14" s="12">
        <v>0</v>
      </c>
      <c r="AD14" s="12">
        <v>2628</v>
      </c>
      <c r="AE14" s="11">
        <v>5</v>
      </c>
      <c r="AF14" s="11">
        <v>1</v>
      </c>
      <c r="AG14" s="11">
        <v>6005</v>
      </c>
    </row>
    <row r="15" spans="1:34">
      <c r="A15" s="1" t="s">
        <v>108</v>
      </c>
      <c r="B15" s="1" t="s">
        <v>104</v>
      </c>
      <c r="C15" s="1" t="s">
        <v>15</v>
      </c>
      <c r="D15" t="str" cm="1">
        <f t="array" ref="D15">IFERROR(_xlfn.TEXTJOIN(", ",TRUE,_xlfn.UNIQUE(_xlfn._xlws.FILTER(#REF!,(#REF!="Final")*(COUNTIFS('[1]Demand Capacity'!$B:$B,$A15,'[1]Demand Capacity'!$A:$A,#REF!)&gt;0),""))),"")</f>
        <v/>
      </c>
      <c r="E15" s="1" t="s">
        <v>73</v>
      </c>
      <c r="F15" s="1" t="s">
        <v>55</v>
      </c>
      <c r="G15" s="1" t="s">
        <v>56</v>
      </c>
      <c r="H15" s="1" t="s">
        <v>109</v>
      </c>
      <c r="I15" s="1" t="s">
        <v>101</v>
      </c>
      <c r="J15" s="1" t="s">
        <v>76</v>
      </c>
      <c r="K15" s="1" t="s">
        <v>106</v>
      </c>
      <c r="L15" s="1" t="s">
        <v>110</v>
      </c>
      <c r="M15" s="11">
        <v>8</v>
      </c>
      <c r="N15" s="11">
        <v>9</v>
      </c>
      <c r="O15" s="11">
        <v>1566</v>
      </c>
      <c r="P15" s="12">
        <v>34</v>
      </c>
      <c r="Q15" s="12">
        <v>1</v>
      </c>
      <c r="R15" s="12">
        <v>4277</v>
      </c>
      <c r="S15" s="11">
        <v>22</v>
      </c>
      <c r="T15" s="11">
        <v>13</v>
      </c>
      <c r="U15" s="11">
        <v>1699</v>
      </c>
      <c r="V15" s="12">
        <v>11</v>
      </c>
      <c r="W15" s="12">
        <v>4</v>
      </c>
      <c r="X15" s="12">
        <v>1161</v>
      </c>
      <c r="Y15" s="11">
        <v>12</v>
      </c>
      <c r="Z15" s="11">
        <v>12</v>
      </c>
      <c r="AA15" s="11">
        <v>2142</v>
      </c>
      <c r="AB15" s="12">
        <v>13</v>
      </c>
      <c r="AC15" s="12">
        <v>13</v>
      </c>
      <c r="AD15" s="12">
        <v>1776</v>
      </c>
      <c r="AE15" s="11">
        <v>100</v>
      </c>
      <c r="AF15" s="11">
        <v>52</v>
      </c>
      <c r="AG15" s="11">
        <v>12621</v>
      </c>
    </row>
    <row r="16" spans="1:34">
      <c r="A16" s="1" t="s">
        <v>111</v>
      </c>
      <c r="B16" s="1" t="s">
        <v>112</v>
      </c>
      <c r="C16" s="1" t="s">
        <v>15</v>
      </c>
      <c r="D16" t="str" cm="1">
        <f t="array" ref="D16">IFERROR(_xlfn.TEXTJOIN(", ",TRUE,_xlfn.UNIQUE(_xlfn._xlws.FILTER(#REF!,(#REF!="Final")*(COUNTIFS('[1]Demand Capacity'!$B:$B,$A16,'[1]Demand Capacity'!$A:$A,#REF!)&gt;0),""))),"")</f>
        <v/>
      </c>
      <c r="E16" s="1" t="s">
        <v>73</v>
      </c>
      <c r="F16" s="1" t="s">
        <v>55</v>
      </c>
      <c r="G16" s="1" t="s">
        <v>56</v>
      </c>
      <c r="H16" s="1" t="s">
        <v>113</v>
      </c>
      <c r="I16" s="1" t="s">
        <v>114</v>
      </c>
      <c r="J16" s="1" t="s">
        <v>59</v>
      </c>
      <c r="K16" s="1" t="s">
        <v>106</v>
      </c>
      <c r="L16" s="1" t="s">
        <v>115</v>
      </c>
      <c r="M16" s="11">
        <v>0</v>
      </c>
      <c r="N16" s="11">
        <v>0</v>
      </c>
      <c r="O16" s="11">
        <v>0</v>
      </c>
      <c r="P16" s="12">
        <v>0</v>
      </c>
      <c r="Q16" s="12">
        <v>0</v>
      </c>
      <c r="R16" s="12">
        <v>0</v>
      </c>
      <c r="S16" s="11">
        <v>0</v>
      </c>
      <c r="T16" s="11">
        <v>0</v>
      </c>
      <c r="U16" s="11">
        <v>0</v>
      </c>
      <c r="V16" s="12">
        <v>1</v>
      </c>
      <c r="W16" s="12">
        <v>1</v>
      </c>
      <c r="X16" s="12">
        <v>34</v>
      </c>
      <c r="Y16" s="11">
        <v>2</v>
      </c>
      <c r="Z16" s="11">
        <v>0</v>
      </c>
      <c r="AA16" s="11">
        <v>39</v>
      </c>
      <c r="AB16" s="12">
        <v>2</v>
      </c>
      <c r="AC16" s="12">
        <v>1</v>
      </c>
      <c r="AD16" s="12">
        <v>38</v>
      </c>
      <c r="AE16" s="11">
        <v>5</v>
      </c>
      <c r="AF16" s="11">
        <v>2</v>
      </c>
      <c r="AG16" s="11">
        <v>111</v>
      </c>
    </row>
    <row r="17" spans="1:33">
      <c r="A17" s="1" t="s">
        <v>116</v>
      </c>
      <c r="B17" s="1" t="s">
        <v>117</v>
      </c>
      <c r="C17" s="1" t="s">
        <v>16</v>
      </c>
      <c r="D17" t="str" cm="1">
        <f t="array" ref="D17">IFERROR(_xlfn.TEXTJOIN(", ",TRUE,_xlfn.UNIQUE(_xlfn._xlws.FILTER(#REF!,(#REF!="Final")*(COUNTIFS('[1]Demand Capacity'!$B:$B,$A17,'[1]Demand Capacity'!$A:$A,#REF!)&gt;0),""))),"")</f>
        <v/>
      </c>
      <c r="E17" s="1" t="s">
        <v>51</v>
      </c>
      <c r="F17" s="1" t="s">
        <v>118</v>
      </c>
      <c r="G17" s="1" t="s">
        <v>119</v>
      </c>
      <c r="H17" s="1" t="s">
        <v>120</v>
      </c>
      <c r="I17" s="1" t="s">
        <v>81</v>
      </c>
      <c r="J17" s="1" t="s">
        <v>76</v>
      </c>
      <c r="K17" s="1" t="s">
        <v>121</v>
      </c>
      <c r="L17" s="1" t="s">
        <v>122</v>
      </c>
      <c r="M17" s="11">
        <v>2</v>
      </c>
      <c r="N17" s="11">
        <v>1</v>
      </c>
      <c r="O17" s="11">
        <v>2020</v>
      </c>
      <c r="P17" s="12">
        <v>8</v>
      </c>
      <c r="Q17" s="12">
        <v>6</v>
      </c>
      <c r="R17" s="12">
        <v>4845</v>
      </c>
      <c r="S17" s="11">
        <v>1</v>
      </c>
      <c r="T17" s="11">
        <v>1</v>
      </c>
      <c r="U17" s="11">
        <v>5</v>
      </c>
      <c r="V17" s="12">
        <v>0</v>
      </c>
      <c r="W17" s="12">
        <v>0</v>
      </c>
      <c r="X17" s="12">
        <v>0</v>
      </c>
      <c r="Y17" s="11">
        <v>0</v>
      </c>
      <c r="Z17" s="11">
        <v>0</v>
      </c>
      <c r="AA17" s="11">
        <v>0</v>
      </c>
      <c r="AB17" s="12">
        <v>2</v>
      </c>
      <c r="AC17" s="12">
        <v>0</v>
      </c>
      <c r="AD17" s="12">
        <v>240</v>
      </c>
      <c r="AE17" s="11">
        <v>13</v>
      </c>
      <c r="AF17" s="11">
        <v>8</v>
      </c>
      <c r="AG17" s="11">
        <v>7110</v>
      </c>
    </row>
    <row r="18" spans="1:33">
      <c r="A18" s="1" t="s">
        <v>123</v>
      </c>
      <c r="B18" s="1" t="s">
        <v>124</v>
      </c>
      <c r="C18" s="1" t="s">
        <v>16</v>
      </c>
      <c r="D18" t="str" cm="1">
        <f t="array" ref="D18">IFERROR(_xlfn.TEXTJOIN(", ",TRUE,_xlfn.UNIQUE(_xlfn._xlws.FILTER(#REF!,(#REF!="Final")*(COUNTIFS('[1]Demand Capacity'!$B:$B,$A18,'[1]Demand Capacity'!$A:$A,#REF!)&gt;0),""))),"")</f>
        <v/>
      </c>
      <c r="E18" s="1" t="s">
        <v>51</v>
      </c>
      <c r="F18" s="1" t="s">
        <v>118</v>
      </c>
      <c r="G18" s="1" t="s">
        <v>56</v>
      </c>
      <c r="H18" s="1" t="s">
        <v>120</v>
      </c>
      <c r="I18" s="1" t="s">
        <v>81</v>
      </c>
      <c r="J18" s="1" t="s">
        <v>76</v>
      </c>
      <c r="K18" s="1" t="s">
        <v>86</v>
      </c>
      <c r="L18" s="1" t="s">
        <v>125</v>
      </c>
      <c r="M18" s="11">
        <v>6</v>
      </c>
      <c r="N18" s="11">
        <v>0</v>
      </c>
      <c r="O18" s="11">
        <v>75669</v>
      </c>
      <c r="P18" s="12">
        <v>8</v>
      </c>
      <c r="Q18" s="12">
        <v>3</v>
      </c>
      <c r="R18" s="12">
        <v>4999</v>
      </c>
      <c r="S18" s="11">
        <v>3</v>
      </c>
      <c r="T18" s="11">
        <v>2</v>
      </c>
      <c r="U18" s="11">
        <v>1408</v>
      </c>
      <c r="V18" s="12">
        <v>6</v>
      </c>
      <c r="W18" s="12">
        <v>3</v>
      </c>
      <c r="X18" s="12">
        <v>2107</v>
      </c>
      <c r="Y18" s="11">
        <v>6</v>
      </c>
      <c r="Z18" s="11">
        <v>2</v>
      </c>
      <c r="AA18" s="11">
        <v>3365</v>
      </c>
      <c r="AB18" s="12">
        <v>1</v>
      </c>
      <c r="AC18" s="12">
        <v>9</v>
      </c>
      <c r="AD18" s="12">
        <v>6282</v>
      </c>
      <c r="AE18" s="11">
        <v>30</v>
      </c>
      <c r="AF18" s="11">
        <v>19</v>
      </c>
      <c r="AG18" s="11">
        <v>93830</v>
      </c>
    </row>
    <row r="19" spans="1:33">
      <c r="A19" s="1" t="s">
        <v>126</v>
      </c>
      <c r="B19" s="1" t="s">
        <v>79</v>
      </c>
      <c r="C19" s="1" t="s">
        <v>16</v>
      </c>
      <c r="D19" t="str" cm="1">
        <f t="array" ref="D19">IFERROR(_xlfn.TEXTJOIN(", ",TRUE,_xlfn.UNIQUE(_xlfn._xlws.FILTER(#REF!,(#REF!="Final")*(COUNTIFS('[1]Demand Capacity'!$B:$B,$A19,'[1]Demand Capacity'!$A:$A,#REF!)&gt;0),""))),"")</f>
        <v/>
      </c>
      <c r="E19" s="1" t="s">
        <v>51</v>
      </c>
      <c r="F19" s="1" t="s">
        <v>55</v>
      </c>
      <c r="G19" s="1" t="s">
        <v>56</v>
      </c>
      <c r="H19" s="1" t="s">
        <v>127</v>
      </c>
      <c r="I19" s="1" t="s">
        <v>81</v>
      </c>
      <c r="J19" s="1" t="s">
        <v>76</v>
      </c>
      <c r="K19" s="1" t="s">
        <v>86</v>
      </c>
      <c r="L19" s="1" t="s">
        <v>128</v>
      </c>
      <c r="M19" s="11">
        <v>4</v>
      </c>
      <c r="N19" s="11">
        <v>1</v>
      </c>
      <c r="O19" s="11">
        <v>2505</v>
      </c>
      <c r="P19" s="12">
        <v>5</v>
      </c>
      <c r="Q19" s="12">
        <v>3</v>
      </c>
      <c r="R19" s="12">
        <v>4444</v>
      </c>
      <c r="S19" s="11">
        <v>1</v>
      </c>
      <c r="T19" s="11">
        <v>9</v>
      </c>
      <c r="U19" s="11">
        <v>706</v>
      </c>
      <c r="V19" s="12">
        <v>5</v>
      </c>
      <c r="W19" s="12">
        <v>0</v>
      </c>
      <c r="X19" s="12">
        <v>2421</v>
      </c>
      <c r="Y19" s="11">
        <v>10</v>
      </c>
      <c r="Z19" s="11">
        <v>7</v>
      </c>
      <c r="AA19" s="11">
        <v>4050</v>
      </c>
      <c r="AB19" s="12">
        <v>3</v>
      </c>
      <c r="AC19" s="12">
        <v>3</v>
      </c>
      <c r="AD19" s="12">
        <v>894</v>
      </c>
      <c r="AE19" s="11">
        <v>28</v>
      </c>
      <c r="AF19" s="11">
        <v>23</v>
      </c>
      <c r="AG19" s="11">
        <v>15020</v>
      </c>
    </row>
    <row r="20" spans="1:33">
      <c r="A20" s="1" t="s">
        <v>129</v>
      </c>
      <c r="B20" s="1" t="s">
        <v>130</v>
      </c>
      <c r="C20" s="1" t="s">
        <v>16</v>
      </c>
      <c r="D20" t="str" cm="1">
        <f t="array" ref="D20">IFERROR(_xlfn.TEXTJOIN(", ",TRUE,_xlfn.UNIQUE(_xlfn._xlws.FILTER(#REF!,(#REF!="Final")*(COUNTIFS('[1]Demand Capacity'!$B:$B,$A20,'[1]Demand Capacity'!$A:$A,#REF!)&gt;0),""))),"")</f>
        <v/>
      </c>
      <c r="E20" s="1" t="s">
        <v>62</v>
      </c>
      <c r="F20" s="1" t="s">
        <v>118</v>
      </c>
      <c r="G20" s="1" t="s">
        <v>119</v>
      </c>
      <c r="H20" s="1" t="s">
        <v>120</v>
      </c>
      <c r="I20" s="1" t="s">
        <v>81</v>
      </c>
      <c r="J20" s="1" t="s">
        <v>76</v>
      </c>
      <c r="K20" s="1" t="s">
        <v>86</v>
      </c>
      <c r="L20" s="1" t="s">
        <v>131</v>
      </c>
      <c r="M20" s="11">
        <v>0</v>
      </c>
      <c r="N20" s="11">
        <v>2</v>
      </c>
      <c r="O20" s="11">
        <v>0</v>
      </c>
      <c r="P20" s="12">
        <v>0</v>
      </c>
      <c r="Q20" s="12">
        <v>4</v>
      </c>
      <c r="R20" s="12">
        <v>24</v>
      </c>
      <c r="S20" s="11">
        <v>0</v>
      </c>
      <c r="T20" s="11">
        <v>0</v>
      </c>
      <c r="U20" s="11">
        <v>25</v>
      </c>
      <c r="V20" s="12">
        <v>2</v>
      </c>
      <c r="W20" s="12">
        <v>1</v>
      </c>
      <c r="X20" s="12">
        <v>24</v>
      </c>
      <c r="Y20" s="11">
        <v>2</v>
      </c>
      <c r="Z20" s="11">
        <v>3</v>
      </c>
      <c r="AA20" s="11">
        <v>516</v>
      </c>
      <c r="AB20" s="12">
        <v>2</v>
      </c>
      <c r="AC20" s="12">
        <v>0</v>
      </c>
      <c r="AD20" s="12">
        <v>1039</v>
      </c>
      <c r="AE20" s="11">
        <v>6</v>
      </c>
      <c r="AF20" s="11">
        <v>10</v>
      </c>
      <c r="AG20" s="11">
        <v>1628</v>
      </c>
    </row>
    <row r="21" spans="1:33">
      <c r="A21" s="1" t="s">
        <v>135</v>
      </c>
      <c r="B21" s="1" t="s">
        <v>136</v>
      </c>
      <c r="C21" s="1" t="s">
        <v>16</v>
      </c>
      <c r="D21" t="str" cm="1">
        <f t="array" ref="D21">IFERROR(_xlfn.TEXTJOIN(", ",TRUE,_xlfn.UNIQUE(_xlfn._xlws.FILTER(#REF!,(#REF!="Final")*(COUNTIFS('[1]Demand Capacity'!$B:$B,$A21,'[1]Demand Capacity'!$A:$A,#REF!)&gt;0),""))),"")</f>
        <v/>
      </c>
      <c r="E21" s="1" t="s">
        <v>51</v>
      </c>
      <c r="F21" s="1" t="s">
        <v>89</v>
      </c>
      <c r="G21" s="1" t="s">
        <v>90</v>
      </c>
      <c r="H21" s="1" t="s">
        <v>137</v>
      </c>
      <c r="I21" s="1" t="s">
        <v>81</v>
      </c>
      <c r="J21" s="1" t="s">
        <v>76</v>
      </c>
      <c r="K21" s="1" t="s">
        <v>121</v>
      </c>
      <c r="L21" s="1" t="s">
        <v>138</v>
      </c>
      <c r="M21" s="11">
        <v>7</v>
      </c>
      <c r="N21" s="11">
        <v>1</v>
      </c>
      <c r="O21" s="11">
        <v>7452</v>
      </c>
      <c r="P21" s="12">
        <v>10</v>
      </c>
      <c r="Q21" s="12">
        <v>2</v>
      </c>
      <c r="R21" s="12">
        <v>7013</v>
      </c>
      <c r="S21" s="11">
        <v>6</v>
      </c>
      <c r="T21" s="11">
        <v>1</v>
      </c>
      <c r="U21" s="11">
        <v>4497</v>
      </c>
      <c r="V21" s="12">
        <v>14</v>
      </c>
      <c r="W21" s="12">
        <v>3</v>
      </c>
      <c r="X21" s="12">
        <v>7515</v>
      </c>
      <c r="Y21" s="11">
        <v>13</v>
      </c>
      <c r="Z21" s="11">
        <v>10</v>
      </c>
      <c r="AA21" s="11">
        <v>6994</v>
      </c>
      <c r="AB21" s="12">
        <v>12</v>
      </c>
      <c r="AC21" s="12">
        <v>5</v>
      </c>
      <c r="AD21" s="12">
        <v>12471</v>
      </c>
      <c r="AE21" s="11">
        <v>62</v>
      </c>
      <c r="AF21" s="11">
        <v>22</v>
      </c>
      <c r="AG21" s="11">
        <v>45942</v>
      </c>
    </row>
    <row r="22" spans="1:33">
      <c r="A22" s="1" t="s">
        <v>139</v>
      </c>
      <c r="B22" s="1" t="s">
        <v>140</v>
      </c>
      <c r="C22" s="1" t="s">
        <v>16</v>
      </c>
      <c r="D22" t="str" cm="1">
        <f t="array" ref="D22">IFERROR(_xlfn.TEXTJOIN(", ",TRUE,_xlfn.UNIQUE(_xlfn._xlws.FILTER(#REF!,(#REF!="Final")*(COUNTIFS('[1]Demand Capacity'!$B:$B,$A22,'[1]Demand Capacity'!$A:$A,#REF!)&gt;0),""))),"")</f>
        <v/>
      </c>
      <c r="E22" s="1" t="s">
        <v>51</v>
      </c>
      <c r="F22" s="1" t="s">
        <v>55</v>
      </c>
      <c r="G22" s="1" t="s">
        <v>56</v>
      </c>
      <c r="H22" s="1"/>
      <c r="I22" s="1" t="s">
        <v>81</v>
      </c>
      <c r="J22" s="1" t="s">
        <v>76</v>
      </c>
      <c r="K22" s="1" t="s">
        <v>86</v>
      </c>
      <c r="L22" s="1" t="s">
        <v>141</v>
      </c>
      <c r="M22" s="11">
        <v>4</v>
      </c>
      <c r="N22" s="11">
        <v>0</v>
      </c>
      <c r="O22" s="11">
        <v>44563</v>
      </c>
      <c r="P22" s="12">
        <v>5</v>
      </c>
      <c r="Q22" s="12">
        <v>2</v>
      </c>
      <c r="R22" s="12">
        <v>1710</v>
      </c>
      <c r="S22" s="11">
        <v>0</v>
      </c>
      <c r="T22" s="11">
        <v>3</v>
      </c>
      <c r="U22" s="11">
        <v>12</v>
      </c>
      <c r="V22" s="12">
        <v>5</v>
      </c>
      <c r="W22" s="12">
        <v>1</v>
      </c>
      <c r="X22" s="12">
        <v>197</v>
      </c>
      <c r="Y22" s="11">
        <v>7</v>
      </c>
      <c r="Z22" s="11">
        <v>7</v>
      </c>
      <c r="AA22" s="11">
        <v>2989</v>
      </c>
      <c r="AB22" s="12">
        <v>6</v>
      </c>
      <c r="AC22" s="12">
        <v>3</v>
      </c>
      <c r="AD22" s="12">
        <v>1758</v>
      </c>
      <c r="AE22" s="11">
        <v>27</v>
      </c>
      <c r="AF22" s="11">
        <v>16</v>
      </c>
      <c r="AG22" s="11">
        <v>51229</v>
      </c>
    </row>
    <row r="23" spans="1:33">
      <c r="A23" s="1" t="s">
        <v>132</v>
      </c>
      <c r="B23" s="1" t="s">
        <v>133</v>
      </c>
      <c r="C23" s="1" t="s">
        <v>16</v>
      </c>
      <c r="D23" t="str" cm="1">
        <f t="array" ref="D23">IFERROR(_xlfn.TEXTJOIN(", ",TRUE,_xlfn.UNIQUE(_xlfn._xlws.FILTER(#REF!,(#REF!="Final")*(COUNTIFS('[1]Demand Capacity'!$B:$B,$A23,'[1]Demand Capacity'!$A:$A,#REF!)&gt;0),""))),"")</f>
        <v/>
      </c>
      <c r="E23" s="1" t="s">
        <v>62</v>
      </c>
      <c r="F23" s="1" t="s">
        <v>55</v>
      </c>
      <c r="G23" s="1" t="s">
        <v>56</v>
      </c>
      <c r="H23" s="1"/>
      <c r="I23" s="1" t="s">
        <v>81</v>
      </c>
      <c r="J23" s="1" t="s">
        <v>76</v>
      </c>
      <c r="K23" s="1" t="s">
        <v>86</v>
      </c>
      <c r="L23" s="1" t="s">
        <v>134</v>
      </c>
      <c r="M23" s="11">
        <v>10</v>
      </c>
      <c r="N23" s="11">
        <v>7</v>
      </c>
      <c r="O23" s="11">
        <v>7837</v>
      </c>
      <c r="P23" s="12">
        <v>7</v>
      </c>
      <c r="Q23" s="12">
        <v>5</v>
      </c>
      <c r="R23" s="12">
        <v>6066</v>
      </c>
      <c r="S23" s="11">
        <v>2</v>
      </c>
      <c r="T23" s="11">
        <v>0</v>
      </c>
      <c r="U23" s="11">
        <v>672</v>
      </c>
      <c r="V23" s="12">
        <v>4</v>
      </c>
      <c r="W23" s="12">
        <v>10</v>
      </c>
      <c r="X23" s="12">
        <v>7554</v>
      </c>
      <c r="Y23" s="11">
        <v>1</v>
      </c>
      <c r="Z23" s="11">
        <v>6</v>
      </c>
      <c r="AA23" s="11">
        <v>2368</v>
      </c>
      <c r="AB23" s="12">
        <v>0</v>
      </c>
      <c r="AC23" s="12">
        <v>2</v>
      </c>
      <c r="AD23" s="12">
        <v>0</v>
      </c>
      <c r="AE23" s="11">
        <v>24</v>
      </c>
      <c r="AF23" s="11">
        <v>30</v>
      </c>
      <c r="AG23" s="11">
        <v>24497</v>
      </c>
    </row>
    <row r="24" spans="1:33">
      <c r="A24" s="1" t="s">
        <v>142</v>
      </c>
      <c r="B24" s="1" t="s">
        <v>79</v>
      </c>
      <c r="C24" s="1" t="s">
        <v>16</v>
      </c>
      <c r="D24" t="str" cm="1">
        <f t="array" ref="D24">IFERROR(_xlfn.TEXTJOIN(", ",TRUE,_xlfn.UNIQUE(_xlfn._xlws.FILTER(#REF!,(#REF!="Final")*(COUNTIFS('[1]Demand Capacity'!$B:$B,$A24,'[1]Demand Capacity'!$A:$A,#REF!)&gt;0),""))),"")</f>
        <v/>
      </c>
      <c r="E24" s="1" t="s">
        <v>62</v>
      </c>
      <c r="F24" s="1" t="s">
        <v>55</v>
      </c>
      <c r="G24" s="1" t="s">
        <v>56</v>
      </c>
      <c r="H24" s="1"/>
      <c r="I24" s="1" t="s">
        <v>81</v>
      </c>
      <c r="J24" s="1" t="s">
        <v>76</v>
      </c>
      <c r="K24" s="1" t="s">
        <v>86</v>
      </c>
      <c r="L24" s="1" t="s">
        <v>143</v>
      </c>
      <c r="M24" s="11">
        <v>5</v>
      </c>
      <c r="N24" s="11">
        <v>0</v>
      </c>
      <c r="O24" s="11">
        <v>355</v>
      </c>
      <c r="P24" s="12">
        <v>3</v>
      </c>
      <c r="Q24" s="12">
        <v>1</v>
      </c>
      <c r="R24" s="12">
        <v>19048</v>
      </c>
      <c r="S24" s="11">
        <v>0</v>
      </c>
      <c r="T24" s="11">
        <v>0</v>
      </c>
      <c r="U24" s="11">
        <v>539</v>
      </c>
      <c r="V24" s="12">
        <v>3</v>
      </c>
      <c r="W24" s="12">
        <v>9</v>
      </c>
      <c r="X24" s="12">
        <v>479</v>
      </c>
      <c r="Y24" s="11">
        <v>2</v>
      </c>
      <c r="Z24" s="11">
        <v>3</v>
      </c>
      <c r="AA24" s="11">
        <v>313</v>
      </c>
      <c r="AB24" s="12">
        <v>4</v>
      </c>
      <c r="AC24" s="12">
        <v>1</v>
      </c>
      <c r="AD24" s="12">
        <v>232</v>
      </c>
      <c r="AE24" s="11">
        <v>17</v>
      </c>
      <c r="AF24" s="11">
        <v>14</v>
      </c>
      <c r="AG24" s="11">
        <v>20966</v>
      </c>
    </row>
    <row r="25" spans="1:33">
      <c r="A25" s="1" t="s">
        <v>144</v>
      </c>
      <c r="B25" s="1" t="s">
        <v>79</v>
      </c>
      <c r="C25" s="1" t="s">
        <v>16</v>
      </c>
      <c r="D25" t="str" cm="1">
        <f t="array" ref="D25">IFERROR(_xlfn.TEXTJOIN(", ",TRUE,_xlfn.UNIQUE(_xlfn._xlws.FILTER(#REF!,(#REF!="Final")*(COUNTIFS('[1]Demand Capacity'!$B:$B,$A25,'[1]Demand Capacity'!$A:$A,#REF!)&gt;0),""))),"")</f>
        <v/>
      </c>
      <c r="E25" s="1" t="s">
        <v>62</v>
      </c>
      <c r="F25" s="1" t="s">
        <v>55</v>
      </c>
      <c r="G25" s="1" t="s">
        <v>56</v>
      </c>
      <c r="H25" s="1" t="s">
        <v>113</v>
      </c>
      <c r="I25" s="1" t="s">
        <v>145</v>
      </c>
      <c r="J25" s="1" t="s">
        <v>76</v>
      </c>
      <c r="K25" s="1" t="s">
        <v>86</v>
      </c>
      <c r="L25" s="1" t="s">
        <v>146</v>
      </c>
      <c r="M25" s="11">
        <v>4</v>
      </c>
      <c r="N25" s="11">
        <v>0</v>
      </c>
      <c r="O25" s="11">
        <v>130</v>
      </c>
      <c r="P25" s="12">
        <v>2</v>
      </c>
      <c r="Q25" s="12">
        <v>2</v>
      </c>
      <c r="R25" s="12">
        <v>413</v>
      </c>
      <c r="S25" s="11">
        <v>3</v>
      </c>
      <c r="T25" s="11">
        <v>0</v>
      </c>
      <c r="U25" s="11">
        <v>60107</v>
      </c>
      <c r="V25" s="12">
        <v>23</v>
      </c>
      <c r="W25" s="12">
        <v>7</v>
      </c>
      <c r="X25" s="12">
        <v>60749</v>
      </c>
      <c r="Y25" s="11">
        <v>11</v>
      </c>
      <c r="Z25" s="11">
        <v>26</v>
      </c>
      <c r="AA25" s="11">
        <v>3540</v>
      </c>
      <c r="AB25" s="12">
        <v>7</v>
      </c>
      <c r="AC25" s="12">
        <v>4</v>
      </c>
      <c r="AD25" s="12">
        <v>3361</v>
      </c>
      <c r="AE25" s="11">
        <v>50</v>
      </c>
      <c r="AF25" s="11">
        <v>39</v>
      </c>
      <c r="AG25" s="11">
        <v>128300</v>
      </c>
    </row>
    <row r="26" spans="1:33">
      <c r="A26" s="1" t="s">
        <v>147</v>
      </c>
      <c r="B26" s="1" t="s">
        <v>79</v>
      </c>
      <c r="C26" s="1" t="s">
        <v>16</v>
      </c>
      <c r="D26" t="str" cm="1">
        <f t="array" ref="D26">IFERROR(_xlfn.TEXTJOIN(", ",TRUE,_xlfn.UNIQUE(_xlfn._xlws.FILTER(#REF!,(#REF!="Final")*(COUNTIFS('[1]Demand Capacity'!$B:$B,$A26,'[1]Demand Capacity'!$A:$A,#REF!)&gt;0),""))),"")</f>
        <v/>
      </c>
      <c r="E26" s="1" t="s">
        <v>62</v>
      </c>
      <c r="F26" s="1" t="s">
        <v>89</v>
      </c>
      <c r="G26" s="1" t="s">
        <v>90</v>
      </c>
      <c r="H26" s="1"/>
      <c r="I26" s="1" t="s">
        <v>145</v>
      </c>
      <c r="J26" s="1" t="s">
        <v>76</v>
      </c>
      <c r="K26" s="1" t="s">
        <v>86</v>
      </c>
      <c r="L26" s="1" t="s">
        <v>148</v>
      </c>
      <c r="M26" s="11">
        <v>1</v>
      </c>
      <c r="N26" s="11">
        <v>1</v>
      </c>
      <c r="O26" s="11">
        <v>358</v>
      </c>
      <c r="P26" s="12">
        <v>1</v>
      </c>
      <c r="Q26" s="12">
        <v>2</v>
      </c>
      <c r="R26" s="12">
        <v>1</v>
      </c>
      <c r="S26" s="11">
        <v>2</v>
      </c>
      <c r="T26" s="11">
        <v>0</v>
      </c>
      <c r="U26" s="11">
        <v>628</v>
      </c>
      <c r="V26" s="12">
        <v>5</v>
      </c>
      <c r="W26" s="12">
        <v>1</v>
      </c>
      <c r="X26" s="12">
        <v>856</v>
      </c>
      <c r="Y26" s="11">
        <v>6</v>
      </c>
      <c r="Z26" s="11">
        <v>9</v>
      </c>
      <c r="AA26" s="11">
        <v>807</v>
      </c>
      <c r="AB26" s="12">
        <v>2</v>
      </c>
      <c r="AC26" s="12">
        <v>2</v>
      </c>
      <c r="AD26" s="12">
        <v>2603</v>
      </c>
      <c r="AE26" s="11">
        <v>17</v>
      </c>
      <c r="AF26" s="11">
        <v>15</v>
      </c>
      <c r="AG26" s="11">
        <v>5253</v>
      </c>
    </row>
    <row r="27" spans="1:33">
      <c r="A27" s="1" t="s">
        <v>149</v>
      </c>
      <c r="B27" s="1" t="s">
        <v>150</v>
      </c>
      <c r="C27" s="1" t="s">
        <v>16</v>
      </c>
      <c r="D27" t="str" cm="1">
        <f t="array" ref="D27">IFERROR(_xlfn.TEXTJOIN(", ",TRUE,_xlfn.UNIQUE(_xlfn._xlws.FILTER(#REF!,(#REF!="Final")*(COUNTIFS('[1]Demand Capacity'!$B:$B,$A27,'[1]Demand Capacity'!$A:$A,#REF!)&gt;0),""))),"")</f>
        <v/>
      </c>
      <c r="E27" s="1" t="s">
        <v>51</v>
      </c>
      <c r="F27" s="1" t="s">
        <v>55</v>
      </c>
      <c r="G27" s="1" t="s">
        <v>56</v>
      </c>
      <c r="H27" s="1" t="s">
        <v>113</v>
      </c>
      <c r="I27" s="1" t="s">
        <v>81</v>
      </c>
      <c r="J27" s="1" t="s">
        <v>76</v>
      </c>
      <c r="K27" s="1" t="s">
        <v>82</v>
      </c>
      <c r="L27" s="1" t="s">
        <v>151</v>
      </c>
      <c r="M27" s="11">
        <v>21</v>
      </c>
      <c r="N27" s="11">
        <v>7</v>
      </c>
      <c r="O27" s="11">
        <v>15871</v>
      </c>
      <c r="P27" s="12">
        <v>12</v>
      </c>
      <c r="Q27" s="12">
        <v>1</v>
      </c>
      <c r="R27" s="12">
        <v>9162</v>
      </c>
      <c r="S27" s="11">
        <v>1</v>
      </c>
      <c r="T27" s="11">
        <v>0</v>
      </c>
      <c r="U27" s="11">
        <v>25</v>
      </c>
      <c r="V27" s="12">
        <v>0</v>
      </c>
      <c r="W27" s="12">
        <v>0</v>
      </c>
      <c r="X27" s="12">
        <v>0</v>
      </c>
      <c r="Y27" s="11">
        <v>4</v>
      </c>
      <c r="Z27" s="11">
        <v>2</v>
      </c>
      <c r="AA27" s="11">
        <v>405</v>
      </c>
      <c r="AB27" s="12">
        <v>2</v>
      </c>
      <c r="AC27" s="12">
        <v>0</v>
      </c>
      <c r="AD27" s="12">
        <v>17</v>
      </c>
      <c r="AE27" s="11">
        <v>40</v>
      </c>
      <c r="AF27" s="11">
        <v>10</v>
      </c>
      <c r="AG27" s="11">
        <v>25480</v>
      </c>
    </row>
    <row r="28" spans="1:33">
      <c r="A28" s="1" t="s">
        <v>152</v>
      </c>
      <c r="B28" s="1" t="s">
        <v>153</v>
      </c>
      <c r="C28" s="1" t="s">
        <v>16</v>
      </c>
      <c r="D28" t="str" cm="1">
        <f t="array" ref="D28">IFERROR(_xlfn.TEXTJOIN(", ",TRUE,_xlfn.UNIQUE(_xlfn._xlws.FILTER(#REF!,(#REF!="Final")*(COUNTIFS('[1]Demand Capacity'!$B:$B,$A28,'[1]Demand Capacity'!$A:$A,#REF!)&gt;0),""))),"")</f>
        <v/>
      </c>
      <c r="E28" s="1" t="s">
        <v>51</v>
      </c>
      <c r="F28" s="1" t="s">
        <v>118</v>
      </c>
      <c r="G28" s="1" t="s">
        <v>119</v>
      </c>
      <c r="H28" s="1" t="s">
        <v>154</v>
      </c>
      <c r="I28" s="1" t="s">
        <v>145</v>
      </c>
      <c r="J28" s="1" t="s">
        <v>76</v>
      </c>
      <c r="K28" s="1" t="s">
        <v>86</v>
      </c>
      <c r="L28" s="1" t="s">
        <v>155</v>
      </c>
      <c r="M28" s="11">
        <v>5</v>
      </c>
      <c r="N28" s="11">
        <v>0</v>
      </c>
      <c r="O28" s="11">
        <v>5183</v>
      </c>
      <c r="P28" s="12">
        <v>7</v>
      </c>
      <c r="Q28" s="12">
        <v>10</v>
      </c>
      <c r="R28" s="12">
        <v>4326</v>
      </c>
      <c r="S28" s="11">
        <v>9</v>
      </c>
      <c r="T28" s="11">
        <v>1</v>
      </c>
      <c r="U28" s="11">
        <v>11924</v>
      </c>
      <c r="V28" s="12">
        <v>6</v>
      </c>
      <c r="W28" s="12">
        <v>1</v>
      </c>
      <c r="X28" s="12">
        <v>11917</v>
      </c>
      <c r="Y28" s="11">
        <v>10</v>
      </c>
      <c r="Z28" s="11">
        <v>3</v>
      </c>
      <c r="AA28" s="11">
        <v>2227</v>
      </c>
      <c r="AB28" s="12">
        <v>4</v>
      </c>
      <c r="AC28" s="12">
        <v>2</v>
      </c>
      <c r="AD28" s="12">
        <v>1787</v>
      </c>
      <c r="AE28" s="11">
        <v>41</v>
      </c>
      <c r="AF28" s="11">
        <v>17</v>
      </c>
      <c r="AG28" s="11">
        <v>37364</v>
      </c>
    </row>
    <row r="29" spans="1:33" ht="15.75">
      <c r="A29" s="1" t="s">
        <v>156</v>
      </c>
      <c r="B29" s="1" t="s">
        <v>157</v>
      </c>
      <c r="C29" s="1" t="s">
        <v>16</v>
      </c>
      <c r="D29" t="str" cm="1">
        <f t="array" ref="D29">IFERROR(_xlfn.TEXTJOIN(", ",TRUE,_xlfn.UNIQUE(_xlfn._xlws.FILTER(#REF!,(#REF!="Final")*(COUNTIFS('[1]Demand Capacity'!$B:$B,$A29,'[1]Demand Capacity'!$A:$A,#REF!)&gt;0),""))),"")</f>
        <v/>
      </c>
      <c r="E29" s="1" t="s">
        <v>51</v>
      </c>
      <c r="F29" s="1" t="s">
        <v>55</v>
      </c>
      <c r="G29" s="1" t="s">
        <v>56</v>
      </c>
      <c r="H29" s="2" t="s">
        <v>158</v>
      </c>
      <c r="I29" s="1" t="s">
        <v>81</v>
      </c>
      <c r="J29" s="1" t="s">
        <v>76</v>
      </c>
      <c r="K29" s="1" t="s">
        <v>86</v>
      </c>
      <c r="L29" s="1" t="s">
        <v>159</v>
      </c>
      <c r="M29" s="11">
        <v>3</v>
      </c>
      <c r="N29" s="11">
        <v>2</v>
      </c>
      <c r="O29" s="11">
        <v>825048</v>
      </c>
      <c r="P29" s="12">
        <v>0</v>
      </c>
      <c r="Q29" s="12">
        <v>0</v>
      </c>
      <c r="R29" s="12">
        <v>0</v>
      </c>
      <c r="S29" s="11">
        <v>7</v>
      </c>
      <c r="T29" s="11">
        <v>0</v>
      </c>
      <c r="U29" s="11">
        <v>910969</v>
      </c>
      <c r="V29" s="12">
        <v>11</v>
      </c>
      <c r="W29" s="12">
        <v>4</v>
      </c>
      <c r="X29" s="12">
        <v>115852</v>
      </c>
      <c r="Y29" s="11">
        <v>6</v>
      </c>
      <c r="Z29" s="11">
        <v>18</v>
      </c>
      <c r="AA29" s="11">
        <v>105434</v>
      </c>
      <c r="AB29" s="12">
        <v>4</v>
      </c>
      <c r="AC29" s="12">
        <v>10</v>
      </c>
      <c r="AD29" s="12">
        <v>127192</v>
      </c>
      <c r="AE29" s="11">
        <v>31</v>
      </c>
      <c r="AF29" s="11">
        <v>34</v>
      </c>
      <c r="AG29" s="11">
        <v>2084495</v>
      </c>
    </row>
    <row r="30" spans="1:33">
      <c r="A30" s="1" t="s">
        <v>160</v>
      </c>
      <c r="B30" s="1" t="s">
        <v>161</v>
      </c>
      <c r="C30" s="1" t="s">
        <v>16</v>
      </c>
      <c r="D30" t="str" cm="1">
        <f t="array" ref="D30">IFERROR(_xlfn.TEXTJOIN(", ",TRUE,_xlfn.UNIQUE(_xlfn._xlws.FILTER(#REF!,(#REF!="Final")*(COUNTIFS('[1]Demand Capacity'!$B:$B,$A30,'[1]Demand Capacity'!$A:$A,#REF!)&gt;0),""))),"")</f>
        <v/>
      </c>
      <c r="E30" s="1" t="s">
        <v>51</v>
      </c>
      <c r="F30" s="1" t="s">
        <v>118</v>
      </c>
      <c r="G30" s="1" t="s">
        <v>119</v>
      </c>
      <c r="H30" s="1" t="s">
        <v>137</v>
      </c>
      <c r="I30" s="1" t="s">
        <v>162</v>
      </c>
      <c r="J30" s="1" t="s">
        <v>76</v>
      </c>
      <c r="K30" s="1" t="s">
        <v>106</v>
      </c>
      <c r="L30" s="1" t="s">
        <v>163</v>
      </c>
      <c r="M30" s="11">
        <v>3</v>
      </c>
      <c r="N30" s="11">
        <v>1</v>
      </c>
      <c r="O30" s="11">
        <v>3607</v>
      </c>
      <c r="P30" s="12">
        <v>2</v>
      </c>
      <c r="Q30" s="12">
        <v>0</v>
      </c>
      <c r="R30" s="12">
        <v>7509</v>
      </c>
      <c r="S30" s="11">
        <v>4</v>
      </c>
      <c r="T30" s="11">
        <v>1</v>
      </c>
      <c r="U30" s="11">
        <v>7174</v>
      </c>
      <c r="V30" s="12">
        <v>7</v>
      </c>
      <c r="W30" s="12">
        <v>6</v>
      </c>
      <c r="X30" s="12">
        <v>2833</v>
      </c>
      <c r="Y30" s="11">
        <v>0</v>
      </c>
      <c r="Z30" s="11">
        <v>3</v>
      </c>
      <c r="AA30" s="11">
        <v>0</v>
      </c>
      <c r="AB30" s="12">
        <v>1</v>
      </c>
      <c r="AC30" s="12">
        <v>0</v>
      </c>
      <c r="AD30" s="12">
        <v>2859</v>
      </c>
      <c r="AE30" s="11">
        <v>17</v>
      </c>
      <c r="AF30" s="11">
        <v>11</v>
      </c>
      <c r="AG30" s="11">
        <v>23982</v>
      </c>
    </row>
    <row r="31" spans="1:33">
      <c r="A31" s="1" t="s">
        <v>164</v>
      </c>
      <c r="B31" s="1" t="s">
        <v>165</v>
      </c>
      <c r="C31" s="1" t="s">
        <v>16</v>
      </c>
      <c r="D31" t="str" cm="1">
        <f t="array" ref="D31">IFERROR(_xlfn.TEXTJOIN(", ",TRUE,_xlfn.UNIQUE(_xlfn._xlws.FILTER(#REF!,(#REF!="Final")*(COUNTIFS('[1]Demand Capacity'!$B:$B,$A31,'[1]Demand Capacity'!$A:$A,#REF!)&gt;0),""))),"")</f>
        <v/>
      </c>
      <c r="E31" s="1" t="s">
        <v>51</v>
      </c>
      <c r="F31" s="1" t="s">
        <v>118</v>
      </c>
      <c r="G31" s="1" t="s">
        <v>119</v>
      </c>
      <c r="H31" s="1"/>
      <c r="I31" s="1" t="s">
        <v>162</v>
      </c>
      <c r="J31" s="1" t="s">
        <v>76</v>
      </c>
      <c r="K31" s="1" t="s">
        <v>106</v>
      </c>
      <c r="L31" s="1" t="s">
        <v>166</v>
      </c>
      <c r="M31" s="11">
        <v>0</v>
      </c>
      <c r="N31" s="11">
        <v>0</v>
      </c>
      <c r="O31" s="11">
        <v>0</v>
      </c>
      <c r="P31" s="12">
        <v>0</v>
      </c>
      <c r="Q31" s="12">
        <v>0</v>
      </c>
      <c r="R31" s="12">
        <v>2512</v>
      </c>
      <c r="S31" s="11">
        <v>2</v>
      </c>
      <c r="T31" s="11">
        <v>0</v>
      </c>
      <c r="U31" s="11">
        <v>97360</v>
      </c>
      <c r="V31" s="12">
        <v>3</v>
      </c>
      <c r="W31" s="12">
        <v>0</v>
      </c>
      <c r="X31" s="12">
        <v>203121</v>
      </c>
      <c r="Y31" s="11">
        <v>1</v>
      </c>
      <c r="Z31" s="11">
        <v>8</v>
      </c>
      <c r="AA31" s="11">
        <v>2494</v>
      </c>
      <c r="AB31" s="12">
        <v>0</v>
      </c>
      <c r="AC31" s="12">
        <v>2</v>
      </c>
      <c r="AD31" s="12">
        <v>102765</v>
      </c>
      <c r="AE31" s="11">
        <v>6</v>
      </c>
      <c r="AF31" s="11">
        <v>10</v>
      </c>
      <c r="AG31" s="11">
        <v>408252</v>
      </c>
    </row>
    <row r="32" spans="1:33">
      <c r="A32" s="1" t="s">
        <v>167</v>
      </c>
      <c r="B32" s="1" t="s">
        <v>168</v>
      </c>
      <c r="C32" s="1" t="s">
        <v>16</v>
      </c>
      <c r="D32" t="str" cm="1">
        <f t="array" ref="D32">IFERROR(_xlfn.TEXTJOIN(", ",TRUE,_xlfn.UNIQUE(_xlfn._xlws.FILTER(#REF!,(#REF!="Final")*(COUNTIFS('[1]Demand Capacity'!$B:$B,$A32,'[1]Demand Capacity'!$A:$A,#REF!)&gt;0),""))),"")</f>
        <v/>
      </c>
      <c r="E32" s="1" t="s">
        <v>51</v>
      </c>
      <c r="F32" s="1" t="s">
        <v>118</v>
      </c>
      <c r="G32" s="1" t="s">
        <v>119</v>
      </c>
      <c r="H32" s="1"/>
      <c r="I32" s="1" t="s">
        <v>169</v>
      </c>
      <c r="J32" s="1" t="s">
        <v>59</v>
      </c>
      <c r="K32" s="1" t="s">
        <v>86</v>
      </c>
      <c r="L32" s="1" t="s">
        <v>170</v>
      </c>
      <c r="M32" s="11">
        <v>5</v>
      </c>
      <c r="N32" s="11">
        <v>0</v>
      </c>
      <c r="O32" s="11">
        <v>8972</v>
      </c>
      <c r="P32" s="12">
        <v>11</v>
      </c>
      <c r="Q32" s="12">
        <v>0</v>
      </c>
      <c r="R32" s="12">
        <v>32583</v>
      </c>
      <c r="S32" s="11">
        <v>13</v>
      </c>
      <c r="T32" s="11">
        <v>3</v>
      </c>
      <c r="U32" s="11">
        <v>36568</v>
      </c>
      <c r="V32" s="12">
        <v>12</v>
      </c>
      <c r="W32" s="12">
        <v>0</v>
      </c>
      <c r="X32" s="12">
        <v>24238</v>
      </c>
      <c r="Y32" s="11">
        <v>10</v>
      </c>
      <c r="Z32" s="11">
        <v>5</v>
      </c>
      <c r="AA32" s="11">
        <v>19450</v>
      </c>
      <c r="AB32" s="12">
        <v>10</v>
      </c>
      <c r="AC32" s="12">
        <v>4</v>
      </c>
      <c r="AD32" s="12">
        <v>6189</v>
      </c>
      <c r="AE32" s="11">
        <v>61</v>
      </c>
      <c r="AF32" s="11">
        <v>12</v>
      </c>
      <c r="AG32" s="11">
        <v>128000</v>
      </c>
    </row>
    <row r="33" spans="1:33">
      <c r="A33" s="1" t="s">
        <v>171</v>
      </c>
      <c r="B33" s="1" t="s">
        <v>172</v>
      </c>
      <c r="C33" s="1" t="s">
        <v>16</v>
      </c>
      <c r="D33" t="str" cm="1">
        <f t="array" ref="D33">IFERROR(_xlfn.TEXTJOIN(", ",TRUE,_xlfn.UNIQUE(_xlfn._xlws.FILTER(#REF!,(#REF!="Final")*(COUNTIFS('[1]Demand Capacity'!$B:$B,$A33,'[1]Demand Capacity'!$A:$A,#REF!)&gt;0),""))),"")</f>
        <v/>
      </c>
      <c r="E33" s="1" t="s">
        <v>51</v>
      </c>
      <c r="F33" s="1" t="s">
        <v>55</v>
      </c>
      <c r="G33" s="1" t="s">
        <v>56</v>
      </c>
      <c r="H33" s="1" t="s">
        <v>113</v>
      </c>
      <c r="I33" s="1" t="s">
        <v>169</v>
      </c>
      <c r="J33" s="1" t="s">
        <v>59</v>
      </c>
      <c r="K33" s="1" t="s">
        <v>82</v>
      </c>
      <c r="L33" s="1" t="s">
        <v>173</v>
      </c>
      <c r="M33" s="11">
        <v>0</v>
      </c>
      <c r="N33" s="11">
        <v>0</v>
      </c>
      <c r="O33" s="11">
        <v>0</v>
      </c>
      <c r="P33" s="12">
        <v>0</v>
      </c>
      <c r="Q33" s="12">
        <v>0</v>
      </c>
      <c r="R33" s="12">
        <v>644</v>
      </c>
      <c r="S33" s="11">
        <v>0</v>
      </c>
      <c r="T33" s="11">
        <v>0</v>
      </c>
      <c r="U33" s="11">
        <v>386</v>
      </c>
      <c r="V33" s="12">
        <v>0</v>
      </c>
      <c r="W33" s="12">
        <v>0</v>
      </c>
      <c r="X33" s="12">
        <v>10</v>
      </c>
      <c r="Y33" s="11">
        <v>1</v>
      </c>
      <c r="Z33" s="11">
        <v>0</v>
      </c>
      <c r="AA33" s="11">
        <v>50</v>
      </c>
      <c r="AB33" s="12">
        <v>1</v>
      </c>
      <c r="AC33" s="12">
        <v>0</v>
      </c>
      <c r="AD33" s="12">
        <v>230</v>
      </c>
      <c r="AE33" s="11">
        <v>2</v>
      </c>
      <c r="AF33" s="11">
        <v>0</v>
      </c>
      <c r="AG33" s="11">
        <v>1320</v>
      </c>
    </row>
    <row r="34" spans="1:33">
      <c r="A34" s="1" t="s">
        <v>174</v>
      </c>
      <c r="B34" s="1" t="s">
        <v>175</v>
      </c>
      <c r="C34" s="1" t="s">
        <v>16</v>
      </c>
      <c r="D34" t="str" cm="1">
        <f t="array" ref="D34">IFERROR(_xlfn.TEXTJOIN(", ",TRUE,_xlfn.UNIQUE(_xlfn._xlws.FILTER(#REF!,(#REF!="Final")*(COUNTIFS('[1]Demand Capacity'!$B:$B,$A34,'[1]Demand Capacity'!$A:$A,#REF!)&gt;0),""))),"")</f>
        <v/>
      </c>
      <c r="E34" s="1" t="s">
        <v>51</v>
      </c>
      <c r="F34" s="1" t="s">
        <v>55</v>
      </c>
      <c r="G34" s="1" t="s">
        <v>56</v>
      </c>
      <c r="H34" s="1" t="s">
        <v>176</v>
      </c>
      <c r="I34" s="1" t="s">
        <v>169</v>
      </c>
      <c r="J34" s="1" t="s">
        <v>59</v>
      </c>
      <c r="K34" s="1" t="s">
        <v>106</v>
      </c>
      <c r="L34" s="1" t="s">
        <v>177</v>
      </c>
      <c r="M34" s="11">
        <v>0</v>
      </c>
      <c r="N34" s="11">
        <v>0</v>
      </c>
      <c r="O34" s="11">
        <v>8</v>
      </c>
      <c r="P34" s="12">
        <v>0</v>
      </c>
      <c r="Q34" s="12">
        <v>0</v>
      </c>
      <c r="R34" s="12">
        <v>0</v>
      </c>
      <c r="S34" s="11">
        <v>0</v>
      </c>
      <c r="T34" s="11">
        <v>0</v>
      </c>
      <c r="U34" s="11">
        <v>10</v>
      </c>
      <c r="V34" s="12">
        <v>0</v>
      </c>
      <c r="W34" s="12">
        <v>0</v>
      </c>
      <c r="X34" s="12">
        <v>5</v>
      </c>
      <c r="Y34" s="11">
        <v>0</v>
      </c>
      <c r="Z34" s="11">
        <v>0</v>
      </c>
      <c r="AA34" s="11">
        <v>7</v>
      </c>
      <c r="AB34" s="12">
        <v>0</v>
      </c>
      <c r="AC34" s="12">
        <v>0</v>
      </c>
      <c r="AD34" s="12">
        <v>0</v>
      </c>
      <c r="AE34" s="11">
        <v>0</v>
      </c>
      <c r="AF34" s="11">
        <v>0</v>
      </c>
      <c r="AG34" s="11">
        <v>30</v>
      </c>
    </row>
    <row r="35" spans="1:33">
      <c r="A35" s="1" t="s">
        <v>178</v>
      </c>
      <c r="B35" s="1" t="s">
        <v>179</v>
      </c>
      <c r="C35" s="1" t="s">
        <v>16</v>
      </c>
      <c r="D35" t="str" cm="1">
        <f t="array" ref="D35">IFERROR(_xlfn.TEXTJOIN(", ",TRUE,_xlfn.UNIQUE(_xlfn._xlws.FILTER(#REF!,(#REF!="Final")*(COUNTIFS('[1]Demand Capacity'!$B:$B,$A35,'[1]Demand Capacity'!$A:$A,#REF!)&gt;0),""))),"")</f>
        <v/>
      </c>
      <c r="E35" s="1" t="s">
        <v>51</v>
      </c>
      <c r="F35" s="1" t="s">
        <v>55</v>
      </c>
      <c r="G35" s="1" t="s">
        <v>56</v>
      </c>
      <c r="H35" s="1" t="s">
        <v>113</v>
      </c>
      <c r="I35" s="1" t="s">
        <v>169</v>
      </c>
      <c r="J35" s="1" t="s">
        <v>59</v>
      </c>
      <c r="K35" s="1" t="s">
        <v>106</v>
      </c>
      <c r="L35" s="1" t="s">
        <v>180</v>
      </c>
      <c r="M35" s="11">
        <v>0</v>
      </c>
      <c r="N35" s="11">
        <v>0</v>
      </c>
      <c r="O35" s="11">
        <v>0</v>
      </c>
      <c r="P35" s="12">
        <v>2</v>
      </c>
      <c r="Q35" s="12">
        <v>0</v>
      </c>
      <c r="R35" s="12">
        <v>5</v>
      </c>
      <c r="S35" s="11">
        <v>1</v>
      </c>
      <c r="T35" s="11">
        <v>0</v>
      </c>
      <c r="U35" s="11">
        <v>4</v>
      </c>
      <c r="V35" s="12">
        <v>1</v>
      </c>
      <c r="W35" s="12">
        <v>0</v>
      </c>
      <c r="X35" s="12">
        <v>4</v>
      </c>
      <c r="Y35" s="11">
        <v>1</v>
      </c>
      <c r="Z35" s="11">
        <v>0</v>
      </c>
      <c r="AA35" s="11">
        <v>4</v>
      </c>
      <c r="AB35" s="12">
        <v>14</v>
      </c>
      <c r="AC35" s="12">
        <v>0</v>
      </c>
      <c r="AD35" s="12">
        <v>3572</v>
      </c>
      <c r="AE35" s="11">
        <v>19</v>
      </c>
      <c r="AF35" s="11">
        <v>0</v>
      </c>
      <c r="AG35" s="11">
        <v>3589</v>
      </c>
    </row>
    <row r="36" spans="1:33">
      <c r="A36" s="1" t="s">
        <v>181</v>
      </c>
      <c r="B36" s="1" t="s">
        <v>182</v>
      </c>
      <c r="C36" s="1" t="s">
        <v>16</v>
      </c>
      <c r="D36" t="str" cm="1">
        <f t="array" ref="D36">IFERROR(_xlfn.TEXTJOIN(", ",TRUE,_xlfn.UNIQUE(_xlfn._xlws.FILTER(#REF!,(#REF!="Final")*(COUNTIFS('[1]Demand Capacity'!$B:$B,$A36,'[1]Demand Capacity'!$A:$A,#REF!)&gt;0),""))),"")</f>
        <v/>
      </c>
      <c r="E36" s="1" t="s">
        <v>62</v>
      </c>
      <c r="F36" s="1" t="s">
        <v>55</v>
      </c>
      <c r="G36" s="1" t="s">
        <v>56</v>
      </c>
      <c r="H36" s="1" t="s">
        <v>183</v>
      </c>
      <c r="I36" s="1" t="s">
        <v>81</v>
      </c>
      <c r="J36" s="1" t="s">
        <v>76</v>
      </c>
      <c r="K36" s="1" t="s">
        <v>106</v>
      </c>
      <c r="L36" s="1" t="s">
        <v>184</v>
      </c>
      <c r="M36" s="11">
        <v>0</v>
      </c>
      <c r="N36" s="11">
        <v>0</v>
      </c>
      <c r="O36" s="11">
        <v>0</v>
      </c>
      <c r="P36" s="12">
        <v>2</v>
      </c>
      <c r="Q36" s="12">
        <v>2</v>
      </c>
      <c r="R36" s="12">
        <v>522</v>
      </c>
      <c r="S36" s="11">
        <v>0</v>
      </c>
      <c r="T36" s="11">
        <v>0</v>
      </c>
      <c r="U36" s="11">
        <v>0</v>
      </c>
      <c r="V36" s="12">
        <v>2</v>
      </c>
      <c r="W36" s="12">
        <v>3</v>
      </c>
      <c r="X36" s="12">
        <v>25</v>
      </c>
      <c r="Y36" s="11">
        <v>0</v>
      </c>
      <c r="Z36" s="11">
        <v>2</v>
      </c>
      <c r="AA36" s="11">
        <v>0</v>
      </c>
      <c r="AB36" s="12">
        <v>0</v>
      </c>
      <c r="AC36" s="12">
        <v>2</v>
      </c>
      <c r="AD36" s="12">
        <v>0</v>
      </c>
      <c r="AE36" s="11">
        <v>4</v>
      </c>
      <c r="AF36" s="11">
        <v>9</v>
      </c>
      <c r="AG36" s="11">
        <v>547</v>
      </c>
    </row>
    <row r="37" spans="1:33">
      <c r="A37" s="1" t="s">
        <v>185</v>
      </c>
      <c r="B37" s="1" t="s">
        <v>186</v>
      </c>
      <c r="C37" s="1" t="s">
        <v>17</v>
      </c>
      <c r="D37" t="str" cm="1">
        <f t="array" ref="D37">IFERROR(_xlfn.TEXTJOIN(", ",TRUE,_xlfn.UNIQUE(_xlfn._xlws.FILTER(#REF!,(#REF!="Final")*(COUNTIFS('[1]Demand Capacity'!$B:$B,$A37,'[1]Demand Capacity'!$A:$A,#REF!)&gt;0),""))),"")</f>
        <v/>
      </c>
      <c r="E37" s="1" t="s">
        <v>70</v>
      </c>
      <c r="F37" s="1" t="s">
        <v>55</v>
      </c>
      <c r="G37" s="1" t="s">
        <v>56</v>
      </c>
      <c r="H37" s="1" t="s">
        <v>187</v>
      </c>
      <c r="I37" s="1" t="s">
        <v>188</v>
      </c>
      <c r="J37" s="1" t="s">
        <v>59</v>
      </c>
      <c r="K37" s="1" t="s">
        <v>106</v>
      </c>
      <c r="L37" s="3"/>
      <c r="M37" s="11" t="s">
        <v>208</v>
      </c>
      <c r="N37" s="11">
        <v>0</v>
      </c>
      <c r="O37" s="11" t="s">
        <v>208</v>
      </c>
      <c r="P37" s="12" t="s">
        <v>208</v>
      </c>
      <c r="Q37" s="12">
        <v>0</v>
      </c>
      <c r="R37" s="12" t="s">
        <v>208</v>
      </c>
      <c r="S37" s="11" t="s">
        <v>208</v>
      </c>
      <c r="T37" s="11">
        <v>0</v>
      </c>
      <c r="U37" s="11" t="s">
        <v>208</v>
      </c>
      <c r="V37" s="12" t="s">
        <v>208</v>
      </c>
      <c r="W37" s="12">
        <v>0</v>
      </c>
      <c r="X37" s="12" t="s">
        <v>208</v>
      </c>
      <c r="Y37" s="11" t="s">
        <v>208</v>
      </c>
      <c r="Z37" s="11">
        <v>0</v>
      </c>
      <c r="AA37" s="11" t="s">
        <v>208</v>
      </c>
      <c r="AB37" s="12" t="s">
        <v>208</v>
      </c>
      <c r="AC37" s="12">
        <v>0</v>
      </c>
      <c r="AD37" s="12" t="s">
        <v>208</v>
      </c>
      <c r="AE37" s="11" t="s">
        <v>208</v>
      </c>
      <c r="AF37" s="11">
        <v>0</v>
      </c>
      <c r="AG37" s="11" t="s">
        <v>208</v>
      </c>
    </row>
    <row r="38" spans="1:33">
      <c r="A38" s="1" t="s">
        <v>189</v>
      </c>
      <c r="B38" s="1" t="s">
        <v>186</v>
      </c>
      <c r="C38" s="1" t="s">
        <v>17</v>
      </c>
      <c r="D38" t="str" cm="1">
        <f t="array" ref="D38">IFERROR(_xlfn.TEXTJOIN(", ",TRUE,_xlfn.UNIQUE(_xlfn._xlws.FILTER(#REF!,(#REF!="Final")*(COUNTIFS('[1]Demand Capacity'!$B:$B,$A38,'[1]Demand Capacity'!$A:$A,#REF!)&gt;0),""))),"")</f>
        <v/>
      </c>
      <c r="E38" s="1" t="s">
        <v>70</v>
      </c>
      <c r="F38" s="1" t="s">
        <v>55</v>
      </c>
      <c r="G38" s="1" t="s">
        <v>56</v>
      </c>
      <c r="H38" s="1" t="s">
        <v>190</v>
      </c>
      <c r="I38" s="1" t="s">
        <v>188</v>
      </c>
      <c r="J38" s="1" t="s">
        <v>59</v>
      </c>
      <c r="K38" s="1" t="s">
        <v>106</v>
      </c>
      <c r="L38" s="1" t="s">
        <v>191</v>
      </c>
      <c r="M38" s="11">
        <v>0</v>
      </c>
      <c r="N38" s="11">
        <v>0</v>
      </c>
      <c r="O38" s="11">
        <v>4744</v>
      </c>
      <c r="P38" s="12">
        <v>1</v>
      </c>
      <c r="Q38" s="12">
        <v>0</v>
      </c>
      <c r="R38" s="12">
        <v>844</v>
      </c>
      <c r="S38" s="11">
        <v>0</v>
      </c>
      <c r="T38" s="11">
        <v>0</v>
      </c>
      <c r="U38" s="11">
        <v>261</v>
      </c>
      <c r="V38" s="12">
        <v>0</v>
      </c>
      <c r="W38" s="12">
        <v>0</v>
      </c>
      <c r="X38" s="12">
        <v>691</v>
      </c>
      <c r="Y38" s="11">
        <v>1</v>
      </c>
      <c r="Z38" s="11">
        <v>0</v>
      </c>
      <c r="AA38" s="11">
        <v>415</v>
      </c>
      <c r="AB38" s="12">
        <v>1</v>
      </c>
      <c r="AC38" s="12">
        <v>0</v>
      </c>
      <c r="AD38" s="12">
        <v>310</v>
      </c>
      <c r="AE38" s="11">
        <v>3</v>
      </c>
      <c r="AF38" s="11">
        <v>0</v>
      </c>
      <c r="AG38" s="11">
        <v>7265</v>
      </c>
    </row>
    <row r="39" spans="1:33">
      <c r="A39" s="1" t="s">
        <v>192</v>
      </c>
      <c r="B39" s="1" t="s">
        <v>186</v>
      </c>
      <c r="C39" s="1" t="s">
        <v>17</v>
      </c>
      <c r="D39" t="str" cm="1">
        <f t="array" ref="D39">IFERROR(_xlfn.TEXTJOIN(", ",TRUE,_xlfn.UNIQUE(_xlfn._xlws.FILTER(#REF!,(#REF!="Final")*(COUNTIFS('[1]Demand Capacity'!$B:$B,$A39,'[1]Demand Capacity'!$A:$A,#REF!)&gt;0),""))),"")</f>
        <v/>
      </c>
      <c r="E39" s="1" t="s">
        <v>70</v>
      </c>
      <c r="F39" s="1" t="s">
        <v>55</v>
      </c>
      <c r="G39" s="1" t="s">
        <v>56</v>
      </c>
      <c r="H39" s="1" t="s">
        <v>193</v>
      </c>
      <c r="I39" s="1" t="s">
        <v>188</v>
      </c>
      <c r="J39" s="1" t="s">
        <v>59</v>
      </c>
      <c r="K39" s="1" t="s">
        <v>106</v>
      </c>
      <c r="L39" s="1"/>
      <c r="M39" s="11" t="s">
        <v>208</v>
      </c>
      <c r="N39" s="11">
        <v>0</v>
      </c>
      <c r="O39" s="11" t="s">
        <v>208</v>
      </c>
      <c r="P39" s="12" t="s">
        <v>208</v>
      </c>
      <c r="Q39" s="12">
        <v>0</v>
      </c>
      <c r="R39" s="12" t="s">
        <v>208</v>
      </c>
      <c r="S39" s="11" t="s">
        <v>208</v>
      </c>
      <c r="T39" s="11">
        <v>0</v>
      </c>
      <c r="U39" s="11" t="s">
        <v>208</v>
      </c>
      <c r="V39" s="12" t="s">
        <v>208</v>
      </c>
      <c r="W39" s="12">
        <v>0</v>
      </c>
      <c r="X39" s="12" t="s">
        <v>208</v>
      </c>
      <c r="Y39" s="11" t="s">
        <v>208</v>
      </c>
      <c r="Z39" s="11">
        <v>0</v>
      </c>
      <c r="AA39" s="11" t="s">
        <v>208</v>
      </c>
      <c r="AB39" s="12" t="s">
        <v>208</v>
      </c>
      <c r="AC39" s="12">
        <v>0</v>
      </c>
      <c r="AD39" s="12" t="s">
        <v>208</v>
      </c>
      <c r="AE39" s="11" t="s">
        <v>208</v>
      </c>
      <c r="AF39" s="11">
        <v>0</v>
      </c>
      <c r="AG39" s="11" t="s">
        <v>208</v>
      </c>
    </row>
    <row r="40" spans="1:33">
      <c r="L40" s="3" t="s">
        <v>194</v>
      </c>
      <c r="M40" s="11">
        <v>1</v>
      </c>
      <c r="N40" s="11"/>
      <c r="O40" s="11">
        <v>348</v>
      </c>
      <c r="P40" s="12">
        <v>0</v>
      </c>
      <c r="Q40" s="12"/>
      <c r="R40" s="12">
        <v>0</v>
      </c>
      <c r="S40" s="11">
        <v>0</v>
      </c>
      <c r="T40" s="11"/>
      <c r="U40" s="11">
        <v>0</v>
      </c>
      <c r="V40" s="12">
        <v>0</v>
      </c>
      <c r="W40" s="12"/>
      <c r="X40" s="12">
        <v>0</v>
      </c>
      <c r="Y40" s="11">
        <v>0</v>
      </c>
      <c r="Z40" s="11"/>
      <c r="AA40" s="11">
        <v>0</v>
      </c>
      <c r="AB40" s="12">
        <v>0</v>
      </c>
      <c r="AC40" s="12"/>
      <c r="AD40" s="12">
        <v>0</v>
      </c>
      <c r="AE40" s="11">
        <v>1</v>
      </c>
      <c r="AF40" s="11"/>
      <c r="AG40" s="11">
        <v>348</v>
      </c>
    </row>
    <row r="41" spans="1:33">
      <c r="L41" t="s">
        <v>195</v>
      </c>
      <c r="M41" s="11">
        <v>0</v>
      </c>
      <c r="N41" s="11"/>
      <c r="O41" s="11">
        <v>0</v>
      </c>
      <c r="P41" s="12">
        <v>0</v>
      </c>
      <c r="Q41" s="12"/>
      <c r="R41" s="12">
        <v>0</v>
      </c>
      <c r="S41" s="11">
        <v>0</v>
      </c>
      <c r="T41" s="11"/>
      <c r="U41" s="11">
        <v>0</v>
      </c>
      <c r="V41" s="12">
        <v>0</v>
      </c>
      <c r="W41" s="12"/>
      <c r="X41" s="12">
        <v>0</v>
      </c>
      <c r="Y41" s="11">
        <v>0</v>
      </c>
      <c r="Z41" s="11"/>
      <c r="AA41" s="11">
        <v>0</v>
      </c>
      <c r="AB41" s="12">
        <v>0</v>
      </c>
      <c r="AC41" s="12"/>
      <c r="AD41" s="12">
        <v>0</v>
      </c>
      <c r="AE41" s="11">
        <v>0</v>
      </c>
      <c r="AF41" s="11"/>
      <c r="AG41" s="11">
        <v>0</v>
      </c>
    </row>
    <row r="42" spans="1:33">
      <c r="L42" t="s">
        <v>196</v>
      </c>
      <c r="M42" s="11">
        <v>0</v>
      </c>
      <c r="N42" s="11"/>
      <c r="O42" s="11">
        <v>0</v>
      </c>
      <c r="P42" s="12">
        <v>0</v>
      </c>
      <c r="Q42" s="12"/>
      <c r="R42" s="12">
        <v>0</v>
      </c>
      <c r="S42" s="11">
        <v>0</v>
      </c>
      <c r="T42" s="11"/>
      <c r="U42" s="11">
        <v>0</v>
      </c>
      <c r="V42" s="12">
        <v>0</v>
      </c>
      <c r="W42" s="12"/>
      <c r="X42" s="12">
        <v>0</v>
      </c>
      <c r="Y42" s="11">
        <v>0</v>
      </c>
      <c r="Z42" s="11"/>
      <c r="AA42" s="11">
        <v>0</v>
      </c>
      <c r="AB42" s="12">
        <v>0</v>
      </c>
      <c r="AC42" s="12"/>
      <c r="AD42" s="12">
        <v>0</v>
      </c>
      <c r="AE42" s="11">
        <v>0</v>
      </c>
      <c r="AF42" s="11"/>
      <c r="AG42" s="11">
        <v>0</v>
      </c>
    </row>
    <row r="43" spans="1:33">
      <c r="L43" t="s">
        <v>197</v>
      </c>
      <c r="M43" s="11">
        <v>0</v>
      </c>
      <c r="N43" s="11"/>
      <c r="O43" s="11">
        <v>0</v>
      </c>
      <c r="P43" s="12">
        <v>0</v>
      </c>
      <c r="Q43" s="12"/>
      <c r="R43" s="12">
        <v>0</v>
      </c>
      <c r="S43" s="11">
        <v>0</v>
      </c>
      <c r="T43" s="11"/>
      <c r="U43" s="11">
        <v>0</v>
      </c>
      <c r="V43" s="12">
        <v>0</v>
      </c>
      <c r="W43" s="12"/>
      <c r="X43" s="12">
        <v>0</v>
      </c>
      <c r="Y43" s="11">
        <v>0</v>
      </c>
      <c r="Z43" s="11"/>
      <c r="AA43" s="11">
        <v>0</v>
      </c>
      <c r="AB43" s="12">
        <v>0</v>
      </c>
      <c r="AC43" s="12"/>
      <c r="AD43" s="12">
        <v>6117</v>
      </c>
      <c r="AE43" s="11">
        <v>0</v>
      </c>
      <c r="AF43" s="11"/>
      <c r="AG43" s="11">
        <v>6117</v>
      </c>
    </row>
    <row r="44" spans="1:33">
      <c r="L44" t="s">
        <v>198</v>
      </c>
      <c r="M44" s="11">
        <v>0</v>
      </c>
      <c r="N44" s="11"/>
      <c r="O44" s="11">
        <v>0</v>
      </c>
      <c r="P44" s="12">
        <v>0</v>
      </c>
      <c r="Q44" s="12"/>
      <c r="R44" s="12">
        <v>0</v>
      </c>
      <c r="S44" s="11">
        <v>0</v>
      </c>
      <c r="T44" s="11"/>
      <c r="U44" s="11">
        <v>0</v>
      </c>
      <c r="V44" s="12">
        <v>0</v>
      </c>
      <c r="W44" s="12"/>
      <c r="X44" s="12">
        <v>0</v>
      </c>
      <c r="Y44" s="11">
        <v>0</v>
      </c>
      <c r="Z44" s="11"/>
      <c r="AA44" s="11">
        <v>0</v>
      </c>
      <c r="AB44" s="12">
        <v>0</v>
      </c>
      <c r="AC44" s="12"/>
      <c r="AD44" s="12">
        <v>0</v>
      </c>
      <c r="AE44" s="11">
        <v>0</v>
      </c>
      <c r="AF44" s="11"/>
      <c r="AG44" s="11">
        <v>0</v>
      </c>
    </row>
    <row r="45" spans="1:33">
      <c r="L45" t="s">
        <v>199</v>
      </c>
      <c r="M45" s="11">
        <v>0</v>
      </c>
      <c r="N45" s="11"/>
      <c r="O45" s="11">
        <v>0</v>
      </c>
      <c r="P45" s="12">
        <v>0</v>
      </c>
      <c r="Q45" s="12"/>
      <c r="R45" s="12">
        <v>0</v>
      </c>
      <c r="S45" s="11">
        <v>0</v>
      </c>
      <c r="T45" s="11"/>
      <c r="U45" s="11">
        <v>0</v>
      </c>
      <c r="V45" s="12">
        <v>0</v>
      </c>
      <c r="W45" s="12"/>
      <c r="X45" s="12">
        <v>0</v>
      </c>
      <c r="Y45" s="11">
        <v>0</v>
      </c>
      <c r="Z45" s="11"/>
      <c r="AA45" s="11">
        <v>0</v>
      </c>
      <c r="AB45" s="12">
        <v>0</v>
      </c>
      <c r="AC45" s="12"/>
      <c r="AD45" s="12">
        <v>0</v>
      </c>
      <c r="AE45" s="11">
        <v>0</v>
      </c>
      <c r="AF45" s="11"/>
      <c r="AG45" s="11">
        <v>0</v>
      </c>
    </row>
    <row r="46" spans="1:33">
      <c r="L46" s="3" t="s">
        <v>200</v>
      </c>
      <c r="M46" s="11">
        <v>0</v>
      </c>
      <c r="N46" s="11"/>
      <c r="O46" s="11">
        <v>0</v>
      </c>
      <c r="P46" s="12">
        <v>0</v>
      </c>
      <c r="Q46" s="12"/>
      <c r="R46" s="12">
        <v>0</v>
      </c>
      <c r="S46" s="11">
        <v>0</v>
      </c>
      <c r="T46" s="11"/>
      <c r="U46" s="11">
        <v>0</v>
      </c>
      <c r="V46" s="12">
        <v>0</v>
      </c>
      <c r="W46" s="12"/>
      <c r="X46" s="12">
        <v>0</v>
      </c>
      <c r="Y46" s="11">
        <v>0</v>
      </c>
      <c r="Z46" s="11"/>
      <c r="AA46" s="11">
        <v>0</v>
      </c>
      <c r="AB46" s="12">
        <v>0</v>
      </c>
      <c r="AC46" s="12"/>
      <c r="AD46" s="12">
        <v>0</v>
      </c>
      <c r="AE46" s="11">
        <v>0</v>
      </c>
      <c r="AF46" s="11"/>
      <c r="AG46" s="11">
        <v>0</v>
      </c>
    </row>
    <row r="47" spans="1:33">
      <c r="L47" t="s">
        <v>201</v>
      </c>
      <c r="M47" s="11">
        <v>1</v>
      </c>
      <c r="N47" s="11"/>
      <c r="O47" s="11">
        <v>6</v>
      </c>
      <c r="P47" s="12">
        <v>2</v>
      </c>
      <c r="Q47" s="12"/>
      <c r="R47" s="12">
        <v>16632</v>
      </c>
      <c r="S47" s="11">
        <v>1</v>
      </c>
      <c r="T47" s="11"/>
      <c r="U47" s="11">
        <v>300</v>
      </c>
      <c r="V47" s="12">
        <v>0</v>
      </c>
      <c r="W47" s="12"/>
      <c r="X47" s="12">
        <v>0</v>
      </c>
      <c r="Y47" s="11">
        <v>2</v>
      </c>
      <c r="Z47" s="11"/>
      <c r="AA47" s="11">
        <v>10788</v>
      </c>
      <c r="AB47" s="12">
        <v>0</v>
      </c>
      <c r="AC47" s="12"/>
      <c r="AD47" s="12">
        <v>0</v>
      </c>
      <c r="AE47" s="11">
        <v>6</v>
      </c>
      <c r="AF47" s="11"/>
      <c r="AG47" s="11">
        <v>27726</v>
      </c>
    </row>
    <row r="48" spans="1:33">
      <c r="L48" t="s">
        <v>202</v>
      </c>
      <c r="M48" s="11">
        <v>0</v>
      </c>
      <c r="N48" s="11"/>
      <c r="O48" s="11">
        <v>0</v>
      </c>
      <c r="P48" s="12">
        <v>0</v>
      </c>
      <c r="Q48" s="12"/>
      <c r="R48" s="12">
        <v>0</v>
      </c>
      <c r="S48" s="11">
        <v>0</v>
      </c>
      <c r="T48" s="11"/>
      <c r="U48" s="11">
        <v>0</v>
      </c>
      <c r="V48" s="12">
        <v>0</v>
      </c>
      <c r="W48" s="12"/>
      <c r="X48" s="12">
        <v>0</v>
      </c>
      <c r="Y48" s="11">
        <v>0</v>
      </c>
      <c r="Z48" s="11"/>
      <c r="AA48" s="11">
        <v>0</v>
      </c>
      <c r="AB48" s="12">
        <v>0</v>
      </c>
      <c r="AC48" s="12"/>
      <c r="AD48" s="12">
        <v>0</v>
      </c>
      <c r="AE48" s="11">
        <v>0</v>
      </c>
      <c r="AF48" s="11"/>
      <c r="AG48" s="11">
        <v>0</v>
      </c>
    </row>
    <row r="49" spans="12:33">
      <c r="L49" t="s">
        <v>203</v>
      </c>
      <c r="M49" s="11">
        <v>0</v>
      </c>
      <c r="N49" s="11"/>
      <c r="O49" s="11">
        <v>0</v>
      </c>
      <c r="P49" s="12">
        <v>0</v>
      </c>
      <c r="Q49" s="12"/>
      <c r="R49" s="12">
        <v>0</v>
      </c>
      <c r="S49" s="11">
        <v>0</v>
      </c>
      <c r="T49" s="11"/>
      <c r="U49" s="11">
        <v>0</v>
      </c>
      <c r="V49" s="12">
        <v>0</v>
      </c>
      <c r="W49" s="12"/>
      <c r="X49" s="12">
        <v>0</v>
      </c>
      <c r="Y49" s="11">
        <v>0</v>
      </c>
      <c r="Z49" s="11"/>
      <c r="AA49" s="11">
        <v>0</v>
      </c>
      <c r="AB49" s="12">
        <v>0</v>
      </c>
      <c r="AC49" s="12"/>
      <c r="AD49" s="12">
        <v>0</v>
      </c>
      <c r="AE49" s="11">
        <v>0</v>
      </c>
      <c r="AF49" s="11"/>
      <c r="AG49" s="11">
        <v>0</v>
      </c>
    </row>
    <row r="50" spans="12:33">
      <c r="L50" t="s">
        <v>204</v>
      </c>
      <c r="M50" s="11">
        <v>0</v>
      </c>
      <c r="N50" s="11"/>
      <c r="O50" s="11">
        <v>0</v>
      </c>
      <c r="P50" s="12">
        <v>0</v>
      </c>
      <c r="Q50" s="12"/>
      <c r="R50" s="12">
        <v>0</v>
      </c>
      <c r="S50" s="11">
        <v>0</v>
      </c>
      <c r="T50" s="11"/>
      <c r="U50" s="11">
        <v>0</v>
      </c>
      <c r="V50" s="12">
        <v>0</v>
      </c>
      <c r="W50" s="12"/>
      <c r="X50" s="12">
        <v>0</v>
      </c>
      <c r="Y50" s="11">
        <v>0</v>
      </c>
      <c r="Z50" s="11"/>
      <c r="AA50" s="11">
        <v>0</v>
      </c>
      <c r="AB50" s="12">
        <v>0</v>
      </c>
      <c r="AC50" s="12"/>
      <c r="AD50" s="12">
        <v>0</v>
      </c>
      <c r="AE50" s="11">
        <v>0</v>
      </c>
      <c r="AF50" s="11"/>
      <c r="AG50" s="11">
        <v>0</v>
      </c>
    </row>
    <row r="51" spans="12:33">
      <c r="L51" t="s">
        <v>205</v>
      </c>
      <c r="M51" s="11">
        <v>0</v>
      </c>
      <c r="N51" s="11"/>
      <c r="O51" s="11">
        <v>0</v>
      </c>
      <c r="P51" s="12">
        <v>0</v>
      </c>
      <c r="Q51" s="12"/>
      <c r="R51" s="12">
        <v>0</v>
      </c>
      <c r="S51" s="11">
        <v>0</v>
      </c>
      <c r="T51" s="11"/>
      <c r="U51" s="11">
        <v>0</v>
      </c>
      <c r="V51" s="12">
        <v>0</v>
      </c>
      <c r="W51" s="12"/>
      <c r="X51" s="12">
        <v>0</v>
      </c>
      <c r="Y51" s="11">
        <v>0</v>
      </c>
      <c r="Z51" s="11"/>
      <c r="AA51" s="11">
        <v>0</v>
      </c>
      <c r="AB51" s="12">
        <v>0</v>
      </c>
      <c r="AC51" s="12"/>
      <c r="AD51" s="12">
        <v>0</v>
      </c>
      <c r="AE51" s="11">
        <v>0</v>
      </c>
      <c r="AF51" s="11"/>
      <c r="AG51" s="11">
        <v>0</v>
      </c>
    </row>
    <row r="52" spans="12:33">
      <c r="L52" t="s">
        <v>206</v>
      </c>
      <c r="M52" s="11">
        <v>0</v>
      </c>
      <c r="N52" s="11"/>
      <c r="O52" s="11">
        <v>0</v>
      </c>
      <c r="P52" s="12">
        <v>0</v>
      </c>
      <c r="Q52" s="12"/>
      <c r="R52" s="12">
        <v>0</v>
      </c>
      <c r="S52" s="11">
        <v>0</v>
      </c>
      <c r="T52" s="11"/>
      <c r="U52" s="11">
        <v>0</v>
      </c>
      <c r="V52" s="12">
        <v>0</v>
      </c>
      <c r="W52" s="12"/>
      <c r="X52" s="12">
        <v>0</v>
      </c>
      <c r="Y52" s="11">
        <v>0</v>
      </c>
      <c r="Z52" s="11"/>
      <c r="AA52" s="11">
        <v>0</v>
      </c>
      <c r="AB52" s="12">
        <v>0</v>
      </c>
      <c r="AC52" s="12"/>
      <c r="AD52" s="12">
        <v>0</v>
      </c>
      <c r="AE52" s="11">
        <v>0</v>
      </c>
      <c r="AF52" s="11"/>
      <c r="AG52" s="11">
        <v>0</v>
      </c>
    </row>
    <row r="53" spans="12:33">
      <c r="L53" t="s">
        <v>207</v>
      </c>
      <c r="M53" s="11">
        <v>0</v>
      </c>
      <c r="N53" s="11"/>
      <c r="O53" s="11">
        <v>0</v>
      </c>
      <c r="P53" s="12">
        <v>0</v>
      </c>
      <c r="Q53" s="12"/>
      <c r="R53" s="12">
        <v>0</v>
      </c>
      <c r="S53" s="11">
        <v>0</v>
      </c>
      <c r="T53" s="11"/>
      <c r="U53" s="11">
        <v>0</v>
      </c>
      <c r="V53" s="12">
        <v>0</v>
      </c>
      <c r="W53" s="12"/>
      <c r="X53" s="12">
        <v>0</v>
      </c>
      <c r="Y53" s="11">
        <v>0</v>
      </c>
      <c r="Z53" s="11"/>
      <c r="AA53" s="11">
        <v>0</v>
      </c>
      <c r="AB53" s="12">
        <v>0</v>
      </c>
      <c r="AC53" s="12"/>
      <c r="AD53" s="12">
        <v>0</v>
      </c>
      <c r="AE53" s="11">
        <v>0</v>
      </c>
      <c r="AF53" s="11"/>
      <c r="AG53" s="11">
        <v>0</v>
      </c>
    </row>
  </sheetData>
  <autoFilter ref="A1:AH53" xr:uid="{00000000-0001-0000-0000-000000000000}">
    <filterColumn colId="6">
      <filters>
        <filter val="Marvik"/>
      </filters>
    </filterColumn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30" showButton="0"/>
    <filterColumn colId="31" showButton="0"/>
  </autoFilter>
  <mergeCells count="20">
    <mergeCell ref="AH1:AH2"/>
    <mergeCell ref="M1:O1"/>
    <mergeCell ref="P1:R1"/>
    <mergeCell ref="S1:U1"/>
    <mergeCell ref="V1:X1"/>
    <mergeCell ref="Y1:AA1"/>
    <mergeCell ref="AB1:AD1"/>
    <mergeCell ref="AE1:AG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147-E007-4EB2-B508-FFE47A87E5AE}">
  <dimension ref="A1:O49"/>
  <sheetViews>
    <sheetView workbookViewId="0"/>
  </sheetViews>
  <sheetFormatPr defaultRowHeight="15"/>
  <cols>
    <col min="1" max="1" width="23.28515625" bestFit="1" customWidth="1"/>
    <col min="3" max="5" width="10.28515625" bestFit="1" customWidth="1"/>
    <col min="7" max="7" width="10.28515625" bestFit="1" customWidth="1"/>
  </cols>
  <sheetData>
    <row r="1" spans="1:15">
      <c r="A1" s="6" t="s">
        <v>47</v>
      </c>
      <c r="B1" s="7" t="s">
        <v>209</v>
      </c>
      <c r="C1" s="7" t="s">
        <v>210</v>
      </c>
      <c r="D1" s="7" t="s">
        <v>211</v>
      </c>
      <c r="E1" s="7" t="s">
        <v>212</v>
      </c>
      <c r="F1" s="7" t="s">
        <v>213</v>
      </c>
      <c r="G1" s="7" t="s">
        <v>214</v>
      </c>
      <c r="H1" s="6" t="s">
        <v>215</v>
      </c>
      <c r="I1" s="6" t="s">
        <v>216</v>
      </c>
      <c r="J1" s="6" t="s">
        <v>217</v>
      </c>
      <c r="K1" s="6" t="s">
        <v>218</v>
      </c>
      <c r="L1" s="6" t="s">
        <v>219</v>
      </c>
      <c r="M1" s="6" t="s">
        <v>220</v>
      </c>
      <c r="N1" s="6" t="s">
        <v>221</v>
      </c>
      <c r="O1" s="6" t="s">
        <v>10</v>
      </c>
    </row>
    <row r="2" spans="1:15">
      <c r="A2" t="s">
        <v>107</v>
      </c>
      <c r="B2">
        <v>0</v>
      </c>
      <c r="C2">
        <v>2</v>
      </c>
      <c r="D2">
        <v>0</v>
      </c>
      <c r="E2">
        <v>2</v>
      </c>
      <c r="F2">
        <v>1</v>
      </c>
      <c r="G2">
        <v>0</v>
      </c>
      <c r="H2">
        <f>SUM(B2:G2)</f>
        <v>5</v>
      </c>
      <c r="I2">
        <v>0</v>
      </c>
      <c r="J2">
        <v>85</v>
      </c>
      <c r="K2">
        <v>456</v>
      </c>
      <c r="L2">
        <v>1037</v>
      </c>
      <c r="M2">
        <v>1799</v>
      </c>
      <c r="N2">
        <v>2628</v>
      </c>
      <c r="O2">
        <f>SUM(I2:N2)</f>
        <v>6005</v>
      </c>
    </row>
    <row r="3" spans="1:15">
      <c r="A3" t="s">
        <v>122</v>
      </c>
      <c r="B3">
        <v>2</v>
      </c>
      <c r="C3">
        <v>8</v>
      </c>
      <c r="D3">
        <v>1</v>
      </c>
      <c r="E3">
        <v>0</v>
      </c>
      <c r="F3">
        <v>0</v>
      </c>
      <c r="G3">
        <v>2</v>
      </c>
      <c r="H3">
        <f>SUM(B3:G3)</f>
        <v>13</v>
      </c>
      <c r="I3">
        <v>2020</v>
      </c>
      <c r="J3">
        <v>4845</v>
      </c>
      <c r="K3">
        <v>5</v>
      </c>
      <c r="L3">
        <v>0</v>
      </c>
      <c r="M3">
        <v>0</v>
      </c>
      <c r="N3">
        <v>240</v>
      </c>
      <c r="O3">
        <f>SUM(I3:N3)</f>
        <v>7110</v>
      </c>
    </row>
    <row r="4" spans="1:15">
      <c r="A4" t="s">
        <v>194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f>SUM(B4:G4)</f>
        <v>1</v>
      </c>
      <c r="I4">
        <v>348</v>
      </c>
      <c r="J4">
        <v>0</v>
      </c>
      <c r="K4">
        <v>0</v>
      </c>
      <c r="L4">
        <v>0</v>
      </c>
      <c r="M4">
        <v>0</v>
      </c>
      <c r="N4">
        <v>0</v>
      </c>
      <c r="O4">
        <f>SUM(I4:N4)</f>
        <v>348</v>
      </c>
    </row>
    <row r="5" spans="1:15">
      <c r="A5" t="s">
        <v>180</v>
      </c>
      <c r="B5">
        <v>0</v>
      </c>
      <c r="C5">
        <v>2</v>
      </c>
      <c r="D5">
        <v>1</v>
      </c>
      <c r="E5">
        <v>1</v>
      </c>
      <c r="F5">
        <v>1</v>
      </c>
      <c r="G5">
        <v>14</v>
      </c>
      <c r="H5">
        <f>SUM(B5:G5)</f>
        <v>19</v>
      </c>
      <c r="I5">
        <v>0</v>
      </c>
      <c r="J5">
        <v>5</v>
      </c>
      <c r="K5">
        <v>4</v>
      </c>
      <c r="L5">
        <v>4</v>
      </c>
      <c r="M5">
        <v>4</v>
      </c>
      <c r="N5">
        <v>3572</v>
      </c>
      <c r="O5">
        <f>SUM(I5:N5)</f>
        <v>3589</v>
      </c>
    </row>
    <row r="6" spans="1:15">
      <c r="A6" t="s">
        <v>146</v>
      </c>
      <c r="B6">
        <v>4</v>
      </c>
      <c r="C6">
        <v>2</v>
      </c>
      <c r="D6">
        <v>3</v>
      </c>
      <c r="E6">
        <v>23</v>
      </c>
      <c r="F6">
        <v>11</v>
      </c>
      <c r="G6">
        <v>7</v>
      </c>
      <c r="H6">
        <f>SUM(B6:G6)</f>
        <v>50</v>
      </c>
      <c r="I6">
        <v>130</v>
      </c>
      <c r="J6">
        <v>413</v>
      </c>
      <c r="K6">
        <v>60107</v>
      </c>
      <c r="L6">
        <v>60749</v>
      </c>
      <c r="M6">
        <v>3540</v>
      </c>
      <c r="N6">
        <v>3361</v>
      </c>
      <c r="O6">
        <f>SUM(I6:N6)</f>
        <v>128300</v>
      </c>
    </row>
    <row r="7" spans="1:15">
      <c r="A7" t="s">
        <v>166</v>
      </c>
      <c r="B7">
        <v>0</v>
      </c>
      <c r="C7">
        <v>0</v>
      </c>
      <c r="D7">
        <v>2</v>
      </c>
      <c r="E7">
        <v>3</v>
      </c>
      <c r="F7">
        <v>1</v>
      </c>
      <c r="G7">
        <v>0</v>
      </c>
      <c r="H7">
        <f>SUM(B7:G7)</f>
        <v>6</v>
      </c>
      <c r="I7">
        <v>0</v>
      </c>
      <c r="J7">
        <v>2512</v>
      </c>
      <c r="K7">
        <v>97360</v>
      </c>
      <c r="L7">
        <v>203121</v>
      </c>
      <c r="M7">
        <v>2494</v>
      </c>
      <c r="N7">
        <v>102765</v>
      </c>
      <c r="O7">
        <f>SUM(I7:N7)</f>
        <v>408252</v>
      </c>
    </row>
    <row r="8" spans="1:15">
      <c r="A8" t="s">
        <v>177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f>SUM(B8:G8)</f>
        <v>0</v>
      </c>
      <c r="I8">
        <v>8</v>
      </c>
      <c r="J8">
        <v>0</v>
      </c>
      <c r="K8">
        <v>10</v>
      </c>
      <c r="L8">
        <v>5</v>
      </c>
      <c r="M8">
        <v>7</v>
      </c>
      <c r="N8">
        <v>0</v>
      </c>
      <c r="O8">
        <f>SUM(I8:N8)</f>
        <v>30</v>
      </c>
    </row>
    <row r="9" spans="1:15">
      <c r="A9" t="s">
        <v>173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f>SUM(B9:G9)</f>
        <v>2</v>
      </c>
      <c r="I9">
        <v>0</v>
      </c>
      <c r="J9">
        <v>644</v>
      </c>
      <c r="K9">
        <v>386</v>
      </c>
      <c r="L9">
        <v>10</v>
      </c>
      <c r="M9">
        <v>50</v>
      </c>
      <c r="N9">
        <v>230</v>
      </c>
      <c r="O9">
        <f>SUM(I9:N9)</f>
        <v>1320</v>
      </c>
    </row>
    <row r="10" spans="1:15">
      <c r="A10" t="s">
        <v>191</v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f>SUM(B10:G10)</f>
        <v>3</v>
      </c>
      <c r="I10">
        <v>4744</v>
      </c>
      <c r="J10">
        <v>844</v>
      </c>
      <c r="K10">
        <v>261</v>
      </c>
      <c r="L10">
        <v>691</v>
      </c>
      <c r="M10">
        <v>415</v>
      </c>
      <c r="N10">
        <v>310</v>
      </c>
      <c r="O10">
        <f>SUM(I10:N10)</f>
        <v>7265</v>
      </c>
    </row>
    <row r="11" spans="1:15">
      <c r="A11" t="s">
        <v>195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SUM(B11:G11)</f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>SUM(I11:N11)</f>
        <v>0</v>
      </c>
    </row>
    <row r="12" spans="1:15">
      <c r="A12" t="s">
        <v>143</v>
      </c>
      <c r="B12">
        <v>5</v>
      </c>
      <c r="C12">
        <v>3</v>
      </c>
      <c r="D12">
        <v>0</v>
      </c>
      <c r="E12">
        <v>3</v>
      </c>
      <c r="F12">
        <v>2</v>
      </c>
      <c r="G12">
        <v>4</v>
      </c>
      <c r="H12">
        <f>SUM(B12:G12)</f>
        <v>17</v>
      </c>
      <c r="I12">
        <v>355</v>
      </c>
      <c r="J12">
        <v>19048</v>
      </c>
      <c r="K12">
        <v>539</v>
      </c>
      <c r="L12">
        <v>479</v>
      </c>
      <c r="M12">
        <v>313</v>
      </c>
      <c r="N12">
        <v>232</v>
      </c>
      <c r="O12">
        <f>SUM(I12:N12)</f>
        <v>20966</v>
      </c>
    </row>
    <row r="13" spans="1:15">
      <c r="A13" t="s">
        <v>102</v>
      </c>
      <c r="B13">
        <v>8</v>
      </c>
      <c r="C13">
        <v>7</v>
      </c>
      <c r="D13">
        <v>15</v>
      </c>
      <c r="E13">
        <v>15</v>
      </c>
      <c r="F13">
        <v>6</v>
      </c>
      <c r="G13">
        <v>13</v>
      </c>
      <c r="H13">
        <f>SUM(B13:G13)</f>
        <v>64</v>
      </c>
      <c r="I13">
        <v>1244</v>
      </c>
      <c r="J13">
        <v>1233</v>
      </c>
      <c r="K13">
        <v>2536</v>
      </c>
      <c r="L13">
        <v>1478</v>
      </c>
      <c r="M13">
        <v>1316</v>
      </c>
      <c r="N13">
        <v>4601</v>
      </c>
      <c r="O13">
        <f>SUM(I13:N13)</f>
        <v>12408</v>
      </c>
    </row>
    <row r="14" spans="1:15">
      <c r="A14" t="s">
        <v>125</v>
      </c>
      <c r="B14">
        <v>6</v>
      </c>
      <c r="C14">
        <v>8</v>
      </c>
      <c r="D14">
        <v>3</v>
      </c>
      <c r="E14">
        <v>6</v>
      </c>
      <c r="F14">
        <v>6</v>
      </c>
      <c r="G14">
        <v>1</v>
      </c>
      <c r="H14">
        <f>SUM(B14:G14)</f>
        <v>30</v>
      </c>
      <c r="I14">
        <v>75669</v>
      </c>
      <c r="J14">
        <v>4999</v>
      </c>
      <c r="K14">
        <v>1408</v>
      </c>
      <c r="L14">
        <v>2107</v>
      </c>
      <c r="M14">
        <v>3365</v>
      </c>
      <c r="N14">
        <v>6282</v>
      </c>
      <c r="O14">
        <f>SUM(I14:N14)</f>
        <v>93830</v>
      </c>
    </row>
    <row r="15" spans="1:15">
      <c r="A15" t="s">
        <v>196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f>SUM(B15:G15)</f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>SUM(I15:N15)</f>
        <v>0</v>
      </c>
    </row>
    <row r="16" spans="1:15">
      <c r="A16" t="s">
        <v>197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f>SUM(B16:G16)</f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6117</v>
      </c>
      <c r="O16">
        <f>SUM(I16:N16)</f>
        <v>6117</v>
      </c>
    </row>
    <row r="17" spans="1:15">
      <c r="A17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f>SUM(B17:G17)</f>
        <v>0</v>
      </c>
      <c r="I17">
        <v>0</v>
      </c>
      <c r="J17">
        <v>0</v>
      </c>
      <c r="K17">
        <v>0</v>
      </c>
      <c r="L17">
        <v>0</v>
      </c>
      <c r="M17">
        <v>3418</v>
      </c>
      <c r="N17">
        <v>0</v>
      </c>
      <c r="O17">
        <f>SUM(I17:N17)</f>
        <v>3418</v>
      </c>
    </row>
    <row r="18" spans="1:15">
      <c r="A18" t="s">
        <v>198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f>SUM(B18:G18)</f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>SUM(I18:N18)</f>
        <v>0</v>
      </c>
    </row>
    <row r="19" spans="1:15">
      <c r="A19" t="s">
        <v>61</v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f>SUM(B19:G19)</f>
        <v>3</v>
      </c>
      <c r="I19">
        <v>102</v>
      </c>
      <c r="J19">
        <v>0</v>
      </c>
      <c r="K19">
        <v>0</v>
      </c>
      <c r="L19">
        <v>485</v>
      </c>
      <c r="M19">
        <v>485</v>
      </c>
      <c r="N19">
        <v>457</v>
      </c>
      <c r="O19">
        <f>SUM(I19:N19)</f>
        <v>1529</v>
      </c>
    </row>
    <row r="20" spans="1:15">
      <c r="A20" t="s">
        <v>65</v>
      </c>
      <c r="B20">
        <v>0</v>
      </c>
      <c r="C20">
        <v>3</v>
      </c>
      <c r="D20">
        <v>4</v>
      </c>
      <c r="E20">
        <v>0</v>
      </c>
      <c r="F20">
        <v>0</v>
      </c>
      <c r="G20">
        <v>2</v>
      </c>
      <c r="H20">
        <f>SUM(B20:G20)</f>
        <v>9</v>
      </c>
      <c r="I20">
        <v>7017</v>
      </c>
      <c r="J20">
        <v>7045</v>
      </c>
      <c r="K20">
        <v>5249</v>
      </c>
      <c r="L20">
        <v>1033</v>
      </c>
      <c r="M20">
        <v>9196</v>
      </c>
      <c r="N20">
        <v>20951</v>
      </c>
      <c r="O20">
        <f>SUM(I20:N20)</f>
        <v>50491</v>
      </c>
    </row>
    <row r="21" spans="1:15">
      <c r="A21" t="s">
        <v>199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f>SUM(B21:G21)</f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SUM(I21:N21)</f>
        <v>0</v>
      </c>
    </row>
    <row r="22" spans="1:15">
      <c r="A22" t="s">
        <v>77</v>
      </c>
      <c r="B22">
        <v>99</v>
      </c>
      <c r="C22">
        <v>30</v>
      </c>
      <c r="D22">
        <v>11</v>
      </c>
      <c r="E22">
        <v>10</v>
      </c>
      <c r="F22">
        <v>17</v>
      </c>
      <c r="G22">
        <v>11</v>
      </c>
      <c r="H22">
        <f>SUM(B22:G22)</f>
        <v>178</v>
      </c>
      <c r="I22">
        <v>86186</v>
      </c>
      <c r="J22">
        <v>16786</v>
      </c>
      <c r="K22">
        <v>5433</v>
      </c>
      <c r="L22">
        <v>3716</v>
      </c>
      <c r="M22">
        <v>1415</v>
      </c>
      <c r="N22">
        <v>3262</v>
      </c>
      <c r="O22">
        <f>SUM(I22:N22)</f>
        <v>116798</v>
      </c>
    </row>
    <row r="23" spans="1:15">
      <c r="A23" t="s">
        <v>200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f>SUM(B23:G23)</f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>SUM(I23:N23)</f>
        <v>0</v>
      </c>
    </row>
    <row r="24" spans="1:15">
      <c r="A24" t="s">
        <v>184</v>
      </c>
      <c r="B24">
        <v>0</v>
      </c>
      <c r="C24">
        <v>2</v>
      </c>
      <c r="D24">
        <v>0</v>
      </c>
      <c r="E24">
        <v>2</v>
      </c>
      <c r="F24">
        <v>0</v>
      </c>
      <c r="G24">
        <v>0</v>
      </c>
      <c r="H24">
        <f>SUM(B24:G24)</f>
        <v>4</v>
      </c>
      <c r="I24">
        <v>0</v>
      </c>
      <c r="J24">
        <v>522</v>
      </c>
      <c r="K24">
        <v>0</v>
      </c>
      <c r="L24">
        <v>25</v>
      </c>
      <c r="M24">
        <v>0</v>
      </c>
      <c r="N24">
        <v>0</v>
      </c>
      <c r="O24">
        <f>SUM(I24:N24)</f>
        <v>547</v>
      </c>
    </row>
    <row r="25" spans="1:15">
      <c r="A25" t="s">
        <v>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f>SUM(B25:G25)</f>
        <v>0</v>
      </c>
      <c r="I25">
        <v>13569</v>
      </c>
      <c r="J25">
        <v>120146</v>
      </c>
      <c r="K25">
        <v>12105</v>
      </c>
      <c r="L25">
        <v>16062</v>
      </c>
      <c r="M25">
        <v>24899</v>
      </c>
      <c r="N25">
        <v>11427</v>
      </c>
      <c r="O25">
        <f>SUM(I25:N25)</f>
        <v>198208</v>
      </c>
    </row>
    <row r="26" spans="1:15">
      <c r="A26" t="s">
        <v>138</v>
      </c>
      <c r="B26">
        <v>7</v>
      </c>
      <c r="C26">
        <v>10</v>
      </c>
      <c r="D26">
        <v>6</v>
      </c>
      <c r="E26">
        <v>14</v>
      </c>
      <c r="F26">
        <v>13</v>
      </c>
      <c r="G26">
        <v>12</v>
      </c>
      <c r="H26">
        <f>SUM(B26:G26)</f>
        <v>62</v>
      </c>
      <c r="I26">
        <v>7452</v>
      </c>
      <c r="J26">
        <v>7013</v>
      </c>
      <c r="K26">
        <v>4497</v>
      </c>
      <c r="L26">
        <v>7515</v>
      </c>
      <c r="M26">
        <v>6994</v>
      </c>
      <c r="N26">
        <v>12471</v>
      </c>
      <c r="O26">
        <f>SUM(I26:N26)</f>
        <v>45942</v>
      </c>
    </row>
    <row r="27" spans="1:15">
      <c r="A27" t="s">
        <v>201</v>
      </c>
      <c r="B27">
        <v>1</v>
      </c>
      <c r="C27">
        <v>2</v>
      </c>
      <c r="D27">
        <v>1</v>
      </c>
      <c r="E27">
        <v>0</v>
      </c>
      <c r="F27">
        <v>2</v>
      </c>
      <c r="G27">
        <v>0</v>
      </c>
      <c r="H27">
        <f>SUM(B27:G27)</f>
        <v>6</v>
      </c>
      <c r="I27">
        <v>6</v>
      </c>
      <c r="J27">
        <v>16632</v>
      </c>
      <c r="K27">
        <v>300</v>
      </c>
      <c r="L27">
        <v>0</v>
      </c>
      <c r="M27">
        <v>10788</v>
      </c>
      <c r="N27">
        <v>0</v>
      </c>
      <c r="O27">
        <f>SUM(I27:N27)</f>
        <v>27726</v>
      </c>
    </row>
    <row r="28" spans="1:15">
      <c r="A28" t="s">
        <v>95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f>SUM(B28:G28)</f>
        <v>1</v>
      </c>
      <c r="I28">
        <v>0</v>
      </c>
      <c r="J28">
        <v>0</v>
      </c>
      <c r="K28">
        <v>0</v>
      </c>
      <c r="L28">
        <v>9088</v>
      </c>
      <c r="M28">
        <v>9088</v>
      </c>
      <c r="N28">
        <v>0</v>
      </c>
      <c r="O28">
        <f>SUM(I28:N28)</f>
        <v>18176</v>
      </c>
    </row>
    <row r="29" spans="1:15">
      <c r="A29" t="s">
        <v>91</v>
      </c>
      <c r="B29">
        <v>7</v>
      </c>
      <c r="C29">
        <v>5</v>
      </c>
      <c r="D29">
        <v>9</v>
      </c>
      <c r="E29">
        <v>3</v>
      </c>
      <c r="F29">
        <v>9</v>
      </c>
      <c r="G29">
        <v>6</v>
      </c>
      <c r="H29">
        <f>SUM(B29:G29)</f>
        <v>39</v>
      </c>
      <c r="I29">
        <v>4504</v>
      </c>
      <c r="J29">
        <v>7510</v>
      </c>
      <c r="K29">
        <v>8061</v>
      </c>
      <c r="L29">
        <v>7460</v>
      </c>
      <c r="M29">
        <v>8710</v>
      </c>
      <c r="N29">
        <v>1262</v>
      </c>
      <c r="O29">
        <f>SUM(I29:N29)</f>
        <v>37507</v>
      </c>
    </row>
    <row r="30" spans="1:15">
      <c r="A30" t="s">
        <v>155</v>
      </c>
      <c r="B30">
        <v>5</v>
      </c>
      <c r="C30">
        <v>7</v>
      </c>
      <c r="D30">
        <v>9</v>
      </c>
      <c r="E30">
        <v>6</v>
      </c>
      <c r="F30">
        <v>10</v>
      </c>
      <c r="G30">
        <v>4</v>
      </c>
      <c r="H30">
        <f>SUM(B30:G30)</f>
        <v>41</v>
      </c>
      <c r="I30">
        <v>5183</v>
      </c>
      <c r="J30">
        <v>4326</v>
      </c>
      <c r="K30">
        <v>11924</v>
      </c>
      <c r="L30">
        <v>11917</v>
      </c>
      <c r="M30">
        <v>2227</v>
      </c>
      <c r="N30">
        <v>1787</v>
      </c>
      <c r="O30">
        <f>SUM(I30:N30)</f>
        <v>37364</v>
      </c>
    </row>
    <row r="31" spans="1:15">
      <c r="A31" t="s">
        <v>202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f>SUM(B31:G31)</f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f>SUM(I31:N31)</f>
        <v>0</v>
      </c>
    </row>
    <row r="32" spans="1:15">
      <c r="A32" t="s">
        <v>159</v>
      </c>
      <c r="B32">
        <v>3</v>
      </c>
      <c r="C32">
        <v>0</v>
      </c>
      <c r="D32">
        <v>7</v>
      </c>
      <c r="E32">
        <v>11</v>
      </c>
      <c r="F32">
        <v>6</v>
      </c>
      <c r="G32">
        <v>4</v>
      </c>
      <c r="H32">
        <f>SUM(B32:G32)</f>
        <v>31</v>
      </c>
      <c r="I32">
        <v>825048</v>
      </c>
      <c r="J32">
        <v>0</v>
      </c>
      <c r="K32">
        <v>910969</v>
      </c>
      <c r="L32">
        <v>115852</v>
      </c>
      <c r="M32">
        <v>105434</v>
      </c>
      <c r="N32">
        <v>127192</v>
      </c>
      <c r="O32">
        <f>SUM(I32:N32)</f>
        <v>2084495</v>
      </c>
    </row>
    <row r="33" spans="1:15">
      <c r="A33" t="s">
        <v>203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f>SUM(B33:G33)</f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>SUM(I33:N33)</f>
        <v>0</v>
      </c>
    </row>
    <row r="34" spans="1:15">
      <c r="A34" t="s">
        <v>131</v>
      </c>
      <c r="B34">
        <v>0</v>
      </c>
      <c r="C34">
        <v>0</v>
      </c>
      <c r="D34">
        <v>0</v>
      </c>
      <c r="E34">
        <v>2</v>
      </c>
      <c r="F34">
        <v>2</v>
      </c>
      <c r="G34">
        <v>2</v>
      </c>
      <c r="H34">
        <f>SUM(B34:G34)</f>
        <v>6</v>
      </c>
      <c r="I34">
        <v>0</v>
      </c>
      <c r="J34">
        <v>24</v>
      </c>
      <c r="K34">
        <v>25</v>
      </c>
      <c r="L34">
        <v>24</v>
      </c>
      <c r="M34">
        <v>516</v>
      </c>
      <c r="N34">
        <v>1039</v>
      </c>
      <c r="O34">
        <f>SUM(I34:N34)</f>
        <v>1628</v>
      </c>
    </row>
    <row r="35" spans="1:15">
      <c r="A35" t="s">
        <v>204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f>SUM(B35:G35)</f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>SUM(I35:N35)</f>
        <v>0</v>
      </c>
    </row>
    <row r="36" spans="1:15">
      <c r="A36" t="s">
        <v>148</v>
      </c>
      <c r="B36">
        <v>1</v>
      </c>
      <c r="C36">
        <v>1</v>
      </c>
      <c r="D36">
        <v>2</v>
      </c>
      <c r="E36">
        <v>5</v>
      </c>
      <c r="F36">
        <v>6</v>
      </c>
      <c r="G36">
        <v>2</v>
      </c>
      <c r="H36">
        <f>SUM(B36:G36)</f>
        <v>17</v>
      </c>
      <c r="I36">
        <v>358</v>
      </c>
      <c r="J36">
        <v>1</v>
      </c>
      <c r="K36">
        <v>628</v>
      </c>
      <c r="L36">
        <v>856</v>
      </c>
      <c r="M36">
        <v>807</v>
      </c>
      <c r="N36">
        <v>2603</v>
      </c>
      <c r="O36">
        <f>SUM(I36:N36)</f>
        <v>5253</v>
      </c>
    </row>
    <row r="37" spans="1:15">
      <c r="A37" t="s">
        <v>98</v>
      </c>
      <c r="B37">
        <v>0</v>
      </c>
      <c r="C37">
        <v>12</v>
      </c>
      <c r="D37">
        <v>6</v>
      </c>
      <c r="E37">
        <v>1</v>
      </c>
      <c r="F37">
        <v>2</v>
      </c>
      <c r="G37">
        <v>1</v>
      </c>
      <c r="H37">
        <f>SUM(B37:G37)</f>
        <v>22</v>
      </c>
      <c r="I37">
        <v>0</v>
      </c>
      <c r="J37">
        <v>54480</v>
      </c>
      <c r="K37">
        <v>1158508</v>
      </c>
      <c r="L37">
        <v>6381</v>
      </c>
      <c r="M37">
        <v>27556</v>
      </c>
      <c r="N37">
        <v>14844</v>
      </c>
      <c r="O37">
        <f>SUM(I37:N37)</f>
        <v>1261769</v>
      </c>
    </row>
    <row r="38" spans="1:15">
      <c r="A38" t="s">
        <v>69</v>
      </c>
      <c r="B38">
        <v>0</v>
      </c>
      <c r="C38">
        <v>1</v>
      </c>
      <c r="D38">
        <v>1</v>
      </c>
      <c r="E38">
        <v>1</v>
      </c>
      <c r="F38">
        <v>5</v>
      </c>
      <c r="G38">
        <v>1</v>
      </c>
      <c r="H38">
        <f>SUM(B38:G38)</f>
        <v>9</v>
      </c>
      <c r="I38">
        <v>0</v>
      </c>
      <c r="J38">
        <v>20</v>
      </c>
      <c r="K38">
        <v>20</v>
      </c>
      <c r="L38">
        <v>5119</v>
      </c>
      <c r="M38">
        <v>23561</v>
      </c>
      <c r="N38">
        <v>4873</v>
      </c>
      <c r="O38">
        <f>SUM(I38:N38)</f>
        <v>33593</v>
      </c>
    </row>
    <row r="39" spans="1:15">
      <c r="A39" t="s">
        <v>115</v>
      </c>
      <c r="B39">
        <v>0</v>
      </c>
      <c r="C39">
        <v>0</v>
      </c>
      <c r="D39">
        <v>0</v>
      </c>
      <c r="E39">
        <v>1</v>
      </c>
      <c r="F39">
        <v>2</v>
      </c>
      <c r="G39">
        <v>2</v>
      </c>
      <c r="H39">
        <f>SUM(B39:G39)</f>
        <v>5</v>
      </c>
      <c r="I39">
        <v>0</v>
      </c>
      <c r="J39">
        <v>0</v>
      </c>
      <c r="K39">
        <v>0</v>
      </c>
      <c r="L39">
        <v>34</v>
      </c>
      <c r="M39">
        <v>39</v>
      </c>
      <c r="N39">
        <v>38</v>
      </c>
      <c r="O39">
        <f>SUM(I39:N39)</f>
        <v>111</v>
      </c>
    </row>
    <row r="40" spans="1:15">
      <c r="A40" t="s">
        <v>163</v>
      </c>
      <c r="B40">
        <v>3</v>
      </c>
      <c r="C40">
        <v>2</v>
      </c>
      <c r="D40">
        <v>4</v>
      </c>
      <c r="E40">
        <v>7</v>
      </c>
      <c r="F40">
        <v>0</v>
      </c>
      <c r="G40">
        <v>1</v>
      </c>
      <c r="H40">
        <f>SUM(B40:G40)</f>
        <v>17</v>
      </c>
      <c r="I40">
        <v>3607</v>
      </c>
      <c r="J40">
        <v>7509</v>
      </c>
      <c r="K40">
        <v>7174</v>
      </c>
      <c r="L40">
        <v>2833</v>
      </c>
      <c r="M40">
        <v>0</v>
      </c>
      <c r="N40">
        <v>2859</v>
      </c>
      <c r="O40">
        <f>SUM(I40:N40)</f>
        <v>23982</v>
      </c>
    </row>
    <row r="41" spans="1:15">
      <c r="A41" t="s">
        <v>134</v>
      </c>
      <c r="B41">
        <v>10</v>
      </c>
      <c r="C41">
        <v>7</v>
      </c>
      <c r="D41">
        <v>2</v>
      </c>
      <c r="E41">
        <v>4</v>
      </c>
      <c r="F41">
        <v>1</v>
      </c>
      <c r="G41">
        <v>0</v>
      </c>
      <c r="H41">
        <f>SUM(B41:G41)</f>
        <v>24</v>
      </c>
      <c r="I41">
        <v>7837</v>
      </c>
      <c r="J41">
        <v>6066</v>
      </c>
      <c r="K41">
        <v>672</v>
      </c>
      <c r="L41">
        <v>7554</v>
      </c>
      <c r="M41">
        <v>2368</v>
      </c>
      <c r="N41">
        <v>0</v>
      </c>
      <c r="O41">
        <f>SUM(I41:N41)</f>
        <v>24497</v>
      </c>
    </row>
    <row r="42" spans="1:15">
      <c r="A42" t="s">
        <v>205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f>SUM(B42:G42)</f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f>SUM(I42:N42)</f>
        <v>0</v>
      </c>
    </row>
    <row r="43" spans="1:15">
      <c r="A43" t="s">
        <v>128</v>
      </c>
      <c r="B43">
        <v>4</v>
      </c>
      <c r="C43">
        <v>5</v>
      </c>
      <c r="D43">
        <v>1</v>
      </c>
      <c r="E43">
        <v>5</v>
      </c>
      <c r="F43">
        <v>10</v>
      </c>
      <c r="G43">
        <v>3</v>
      </c>
      <c r="H43">
        <f>SUM(B43:G43)</f>
        <v>28</v>
      </c>
      <c r="I43">
        <v>2505</v>
      </c>
      <c r="J43">
        <v>4444</v>
      </c>
      <c r="K43">
        <v>706</v>
      </c>
      <c r="L43">
        <v>2421</v>
      </c>
      <c r="M43">
        <v>4050</v>
      </c>
      <c r="N43">
        <v>894</v>
      </c>
      <c r="O43">
        <f>SUM(I43:N43)</f>
        <v>15020</v>
      </c>
    </row>
    <row r="44" spans="1:15">
      <c r="A44" t="s">
        <v>141</v>
      </c>
      <c r="B44">
        <v>4</v>
      </c>
      <c r="C44">
        <v>5</v>
      </c>
      <c r="D44">
        <v>0</v>
      </c>
      <c r="E44">
        <v>5</v>
      </c>
      <c r="F44">
        <v>7</v>
      </c>
      <c r="G44">
        <v>6</v>
      </c>
      <c r="H44">
        <f>SUM(B44:G44)</f>
        <v>27</v>
      </c>
      <c r="I44">
        <v>44563</v>
      </c>
      <c r="J44">
        <v>1710</v>
      </c>
      <c r="K44">
        <v>12</v>
      </c>
      <c r="L44">
        <v>197</v>
      </c>
      <c r="M44">
        <v>2989</v>
      </c>
      <c r="N44">
        <v>1758</v>
      </c>
      <c r="O44">
        <f>SUM(I44:N44)</f>
        <v>51229</v>
      </c>
    </row>
    <row r="45" spans="1:15">
      <c r="A45" t="s">
        <v>151</v>
      </c>
      <c r="B45">
        <v>21</v>
      </c>
      <c r="C45">
        <v>12</v>
      </c>
      <c r="D45">
        <v>1</v>
      </c>
      <c r="E45">
        <v>0</v>
      </c>
      <c r="F45">
        <v>4</v>
      </c>
      <c r="G45">
        <v>2</v>
      </c>
      <c r="H45">
        <f>SUM(B45:G45)</f>
        <v>40</v>
      </c>
      <c r="I45">
        <v>15871</v>
      </c>
      <c r="J45">
        <v>9162</v>
      </c>
      <c r="K45">
        <v>25</v>
      </c>
      <c r="L45">
        <v>0</v>
      </c>
      <c r="M45">
        <v>405</v>
      </c>
      <c r="N45">
        <v>17</v>
      </c>
      <c r="O45">
        <f>SUM(I45:N45)</f>
        <v>25480</v>
      </c>
    </row>
    <row r="46" spans="1:15">
      <c r="A46" t="s">
        <v>206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f>SUM(B46:G46)</f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>SUM(I46:N46)</f>
        <v>0</v>
      </c>
    </row>
    <row r="47" spans="1:15">
      <c r="A47" t="s">
        <v>207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f>SUM(B47:G47)</f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f>SUM(I47:N47)</f>
        <v>0</v>
      </c>
    </row>
    <row r="48" spans="1:15">
      <c r="A48" t="s">
        <v>170</v>
      </c>
      <c r="B48">
        <v>5</v>
      </c>
      <c r="C48">
        <v>11</v>
      </c>
      <c r="D48">
        <v>13</v>
      </c>
      <c r="E48">
        <v>12</v>
      </c>
      <c r="F48">
        <v>10</v>
      </c>
      <c r="G48">
        <v>10</v>
      </c>
      <c r="H48">
        <f>SUM(B48:G48)</f>
        <v>61</v>
      </c>
      <c r="I48">
        <v>8972</v>
      </c>
      <c r="J48">
        <v>32583</v>
      </c>
      <c r="K48">
        <v>36568</v>
      </c>
      <c r="L48">
        <v>24238</v>
      </c>
      <c r="M48">
        <v>19450</v>
      </c>
      <c r="N48">
        <v>6189</v>
      </c>
      <c r="O48">
        <f>SUM(I48:N48)</f>
        <v>128000</v>
      </c>
    </row>
    <row r="49" spans="1:15">
      <c r="A49" t="s">
        <v>110</v>
      </c>
      <c r="B49">
        <v>8</v>
      </c>
      <c r="C49">
        <v>34</v>
      </c>
      <c r="D49">
        <v>22</v>
      </c>
      <c r="E49">
        <v>11</v>
      </c>
      <c r="F49">
        <v>12</v>
      </c>
      <c r="G49">
        <v>13</v>
      </c>
      <c r="H49">
        <f>SUM(B49:G49)</f>
        <v>100</v>
      </c>
      <c r="I49">
        <v>1566</v>
      </c>
      <c r="J49">
        <v>4277</v>
      </c>
      <c r="K49">
        <v>1699</v>
      </c>
      <c r="L49">
        <v>1161</v>
      </c>
      <c r="M49">
        <v>2142</v>
      </c>
      <c r="N49">
        <v>1776</v>
      </c>
      <c r="O49">
        <f>SUM(I49:N49)</f>
        <v>12621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2026-06-10T22:00:07Z</dcterms:created>
  <dcterms:modified xsi:type="dcterms:W3CDTF">2026-06-13T19:40:55Z</dcterms:modified>
  <cp:category/>
  <cp:contentStatus/>
</cp:coreProperties>
</file>